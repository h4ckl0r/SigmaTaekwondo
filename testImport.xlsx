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SigmaTeakwondo\"/>
    </mc:Choice>
  </mc:AlternateContent>
  <xr:revisionPtr revIDLastSave="0" documentId="13_ncr:1_{A25E8455-6C28-4FE0-B1DF-9677492884BA}" xr6:coauthVersionLast="47" xr6:coauthVersionMax="47" xr10:uidLastSave="{00000000-0000-0000-0000-000000000000}"/>
  <bookViews>
    <workbookView xWindow="-120" yWindow="-120" windowWidth="29040" windowHeight="16440" xr2:uid="{170CA425-1952-403F-A55F-7CF53DAE892B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" i="1"/>
  <c r="D152" i="1"/>
  <c r="D204" i="1"/>
  <c r="D252" i="1"/>
  <c r="D253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C253" i="1"/>
  <c r="C254" i="1"/>
  <c r="D254" i="1" s="1"/>
  <c r="C255" i="1"/>
  <c r="D255" i="1" s="1"/>
  <c r="C256" i="1"/>
  <c r="C257" i="1"/>
  <c r="C258" i="1"/>
  <c r="C259" i="1"/>
  <c r="C260" i="1"/>
  <c r="C261" i="1"/>
  <c r="C262" i="1"/>
  <c r="C2" i="1"/>
  <c r="D2" i="1" s="1"/>
</calcChain>
</file>

<file path=xl/sharedStrings.xml><?xml version="1.0" encoding="utf-8"?>
<sst xmlns="http://schemas.openxmlformats.org/spreadsheetml/2006/main" count="962" uniqueCount="431">
  <si>
    <t>CS</t>
  </si>
  <si>
    <t>Bùi Bảo Nam</t>
  </si>
  <si>
    <t>Trần Phúc Anh</t>
  </si>
  <si>
    <t>Hoàng Quốc Huy</t>
  </si>
  <si>
    <t>Nguyễn Trường Sơn</t>
  </si>
  <si>
    <t>Trương Quỳnh Chi</t>
  </si>
  <si>
    <t>Nguyễn Duy Hưng</t>
  </si>
  <si>
    <t>Nguyễn Ngọc Gia Bảo</t>
  </si>
  <si>
    <t>Vũ Nhật Huy</t>
  </si>
  <si>
    <t>Nguyễn Duy Khang</t>
  </si>
  <si>
    <t>Nguyễn Trung Đức</t>
  </si>
  <si>
    <t>Nguyễn Hoàng Minh Quân</t>
  </si>
  <si>
    <t>Đặng Sỹ Hoàng</t>
  </si>
  <si>
    <t>Lê Bảo Châu</t>
  </si>
  <si>
    <t>Ngô Gia Minh</t>
  </si>
  <si>
    <t>Đào Minh Long</t>
  </si>
  <si>
    <t>Lê Tấn Sang</t>
  </si>
  <si>
    <t>Hoàng Minh Sơn</t>
  </si>
  <si>
    <t>Đặng Vũ Bảo Linh</t>
  </si>
  <si>
    <t>Nguyễn Anh Tùng</t>
  </si>
  <si>
    <t>Đào Ngọc Minh An</t>
  </si>
  <si>
    <t>Trương Tuệ Minh</t>
  </si>
  <si>
    <t>Nguyễn Đức Anh Tú</t>
  </si>
  <si>
    <t>Đàm Nhật Nam</t>
  </si>
  <si>
    <t>Vũ Đình Mạnh</t>
  </si>
  <si>
    <t>Hoàng Phạm Bình An</t>
  </si>
  <si>
    <t>Mai Phương Thúy</t>
  </si>
  <si>
    <t>Mai Xuân Anh</t>
  </si>
  <si>
    <t>Kiều Thắng Lợi</t>
  </si>
  <si>
    <t>Phạm Thị Phương Thanh</t>
  </si>
  <si>
    <t>Khổng Tú Quỳnh</t>
  </si>
  <si>
    <t>Phạm Hoàng Nam</t>
  </si>
  <si>
    <t>Hoàng Trung Quân</t>
  </si>
  <si>
    <t>Nguyễn Hải Đăng</t>
  </si>
  <si>
    <t>Phạm Anh Tùng</t>
  </si>
  <si>
    <t>Trần Nam Anh</t>
  </si>
  <si>
    <t>Đinh Bá Lê Hoàng</t>
  </si>
  <si>
    <t>Nguyễn Đàm Phúc</t>
  </si>
  <si>
    <t>Nguyễn Như Hà Anh</t>
  </si>
  <si>
    <t>Nguyễn Ngọc Khánh An</t>
  </si>
  <si>
    <t>Hoàng Thế Đức</t>
  </si>
  <si>
    <t>Nguyễn Gia Huy</t>
  </si>
  <si>
    <t>Nguyễn Hoàng Minh</t>
  </si>
  <si>
    <t>Tạ Diệp Nhi</t>
  </si>
  <si>
    <t>Lê Như Phong</t>
  </si>
  <si>
    <t>Lê Nhật Vũ</t>
  </si>
  <si>
    <t>Ngô Trí Dũng</t>
  </si>
  <si>
    <t>Trần Minh Quang</t>
  </si>
  <si>
    <t>Phạm Ngọc Khánh Châu</t>
  </si>
  <si>
    <t>Đinh Chí Dũng</t>
  </si>
  <si>
    <t>Vũ Minh Cường</t>
  </si>
  <si>
    <t>Nguyễn Trung Kiên</t>
  </si>
  <si>
    <t>Hoàng Bảo Ngân</t>
  </si>
  <si>
    <t>Trịnh Quang Tuyến</t>
  </si>
  <si>
    <t>Trần Phạm Mai Anh</t>
  </si>
  <si>
    <t>Ngô Hoàng Bách</t>
  </si>
  <si>
    <t>Hoàng Ngọc Kim Ngân</t>
  </si>
  <si>
    <t>Tống Hải Minh</t>
  </si>
  <si>
    <t>Tống Hải Triều</t>
  </si>
  <si>
    <t>Nguyễn Minh Châu</t>
  </si>
  <si>
    <t>Nguyễn Ngọc Hoàng Long</t>
  </si>
  <si>
    <t>Bùi Hùng Anh</t>
  </si>
  <si>
    <t>Nguyễn Thúy Hà</t>
  </si>
  <si>
    <t>Trần Minh Khang</t>
  </si>
  <si>
    <t>Lê Trí Dũng</t>
  </si>
  <si>
    <t>Nguyễn Tuấn Anh</t>
  </si>
  <si>
    <t>Cù Xuân Thực</t>
  </si>
  <si>
    <t>Nguyễn Nguyên Bảo</t>
  </si>
  <si>
    <t>Đỗ Minh Khang</t>
  </si>
  <si>
    <t>Hoàng Đức Kiên</t>
  </si>
  <si>
    <t>Hoàng Trường Giang</t>
  </si>
  <si>
    <t>Nguyễn Chí Hải</t>
  </si>
  <si>
    <t>Nguyễn An Khánh</t>
  </si>
  <si>
    <t>Võ Trí Vĩ</t>
  </si>
  <si>
    <t>Hoàng Thái An</t>
  </si>
  <si>
    <t>Trần Gia Kiên</t>
  </si>
  <si>
    <t>Trần Đỗ Linh Chi</t>
  </si>
  <si>
    <t>Phạm Vũ Trà My</t>
  </si>
  <si>
    <t>Nguyễn Lê Minh Hải</t>
  </si>
  <si>
    <t>Hoàng Giang</t>
  </si>
  <si>
    <t>Nguyễn Đức Quang</t>
  </si>
  <si>
    <t>Nguyễn Quân Ngọc</t>
  </si>
  <si>
    <t>Đỗ Đoàn Minh Huy</t>
  </si>
  <si>
    <t>Phạm Việt Bách</t>
  </si>
  <si>
    <t>Hoàng Phạm Đức Huy</t>
  </si>
  <si>
    <t>Vũ Hải Bách</t>
  </si>
  <si>
    <t>Nguyễn Hữu Thu Thảo</t>
  </si>
  <si>
    <t>Nguyễn Tiến Minh</t>
  </si>
  <si>
    <t>Lê Hồng Trường</t>
  </si>
  <si>
    <t>Nguyễn Minh Duy</t>
  </si>
  <si>
    <t>Nguyễn Anh Tú</t>
  </si>
  <si>
    <t>Đoàn Bảo An Nhiên</t>
  </si>
  <si>
    <t>Nguyễn Hương Linh</t>
  </si>
  <si>
    <t>Phạm Ngọc Linh Hiền</t>
  </si>
  <si>
    <t>Nguyễn Công Huy Minh</t>
  </si>
  <si>
    <t>Khổng Minh Dũng</t>
  </si>
  <si>
    <t>Đoàn Thùy Chi</t>
  </si>
  <si>
    <t>Trần Ngọc Hải Đăng</t>
  </si>
  <si>
    <t>Trần Minh Quân</t>
  </si>
  <si>
    <t>Đinh Hoàng Quân</t>
  </si>
  <si>
    <t>Phan Hoàng Ngọc Long</t>
  </si>
  <si>
    <t>Nguyễn Huy Sơn Tùng</t>
  </si>
  <si>
    <t>Trần Bá Nguyên</t>
  </si>
  <si>
    <t>Nguyễn Nam Khánh</t>
  </si>
  <si>
    <t>Lê Minh Khôi</t>
  </si>
  <si>
    <t>Mai Trí Dũng</t>
  </si>
  <si>
    <t>Nguyễn Duy Anh</t>
  </si>
  <si>
    <t>Đỗ Quang Minh</t>
  </si>
  <si>
    <t>Đỗ Bảo</t>
  </si>
  <si>
    <t>Đào Tường Vy</t>
  </si>
  <si>
    <t>Nguyễn Song Khanh</t>
  </si>
  <si>
    <t>Nguyễn Sơn Tùng</t>
  </si>
  <si>
    <t>Nguyễn Gia Hưng</t>
  </si>
  <si>
    <t>Nguyễn Đức Thái An</t>
  </si>
  <si>
    <t>Hoàng Hà Anh</t>
  </si>
  <si>
    <t>Nguyễn Xuân Hùng</t>
  </si>
  <si>
    <t>Vũ Tuấn Minh</t>
  </si>
  <si>
    <t>Phạm Minh Quân</t>
  </si>
  <si>
    <t>Trần Tuấn Hoàng</t>
  </si>
  <si>
    <t>Trần Diệp Nhi</t>
  </si>
  <si>
    <t>Trần Tuấn Thiện</t>
  </si>
  <si>
    <t>Vũ Tùng Anh</t>
  </si>
  <si>
    <t>Vũ Tùng Lâm</t>
  </si>
  <si>
    <t>Nguyễn Thái Hòa</t>
  </si>
  <si>
    <t>Lê Tường Vy</t>
  </si>
  <si>
    <t>Phạm Ngọc Tâm Đan</t>
  </si>
  <si>
    <t>Lê Mỹ Anh</t>
  </si>
  <si>
    <t>Dương Văn Thiện</t>
  </si>
  <si>
    <t>Vương Tuệ Viên</t>
  </si>
  <si>
    <t>Đinh Hoàng Trí Dũng</t>
  </si>
  <si>
    <t>Đinh Hoàng Giáp</t>
  </si>
  <si>
    <t>Đỗ Ngọc Hiền</t>
  </si>
  <si>
    <t>Nguyễn Hồng Phúc</t>
  </si>
  <si>
    <t>Trần Quang Nhật</t>
  </si>
  <si>
    <t>Lê Xuân Trọng</t>
  </si>
  <si>
    <t>Trần Minh Lâm</t>
  </si>
  <si>
    <t>Nguyễn Hồ Hoàng Anh</t>
  </si>
  <si>
    <t>Trương Ngọc Nguyên</t>
  </si>
  <si>
    <t>Trương Ngọc Khôi</t>
  </si>
  <si>
    <t>Lê Văn Minh</t>
  </si>
  <si>
    <t>Phạm Lê Thái Minh</t>
  </si>
  <si>
    <t>Nguyễn Phúc Bình An</t>
  </si>
  <si>
    <t>Nguyễn Nhật Quang Anh</t>
  </si>
  <si>
    <t>Nguyễn Việt Anh Khôi</t>
  </si>
  <si>
    <t>Tạ Hoàng Nam</t>
  </si>
  <si>
    <t>Tạ Khánh Linh</t>
  </si>
  <si>
    <t>Bùi Nhật Minh</t>
  </si>
  <si>
    <t>Giang Hoàng Lâm</t>
  </si>
  <si>
    <t>Đinh Tú Uyên</t>
  </si>
  <si>
    <t>Đinh Gia Hân</t>
  </si>
  <si>
    <t>Vũ Trúc Lâm</t>
  </si>
  <si>
    <t>Đỗ Đức Huy</t>
  </si>
  <si>
    <t>Nguyễn Gia Bách</t>
  </si>
  <si>
    <t>Vũ Trọng Hùng</t>
  </si>
  <si>
    <t>Nguyễn Trường Giang</t>
  </si>
  <si>
    <t>Nguyễn Ngân Linh</t>
  </si>
  <si>
    <t>Nguyễn Thành Phong</t>
  </si>
  <si>
    <t>Trần Ngọc Tường Vy</t>
  </si>
  <si>
    <t>Trần Hoàng Nam</t>
  </si>
  <si>
    <t>Nguyễn Đỗ Nhật Nam</t>
  </si>
  <si>
    <t>Hoàng Gia An</t>
  </si>
  <si>
    <t>Hoàng Vân Anh</t>
  </si>
  <si>
    <t>Phạm Quang Anh Minh</t>
  </si>
  <si>
    <t>Trần Minh Vũ</t>
  </si>
  <si>
    <t>Nguyễn Thu Hà</t>
  </si>
  <si>
    <t>Bùi Đăng Tùng</t>
  </si>
  <si>
    <t>Bùi Đăng Bách</t>
  </si>
  <si>
    <t>Nguyễn Ngọc Diệp</t>
  </si>
  <si>
    <t>Nguyễn Hồng Nhung</t>
  </si>
  <si>
    <t>Đặng Đình Chí Công</t>
  </si>
  <si>
    <t>Mai Hữu Tuệ</t>
  </si>
  <si>
    <t>Mai Thanh Miên Nhã</t>
  </si>
  <si>
    <t>Nguyễn Minh Trí</t>
  </si>
  <si>
    <t>Nguyễn Thị Út Trâm</t>
  </si>
  <si>
    <t>Vũ Đức Minh</t>
  </si>
  <si>
    <t>Nguyễn Nhật Bảo Linh</t>
  </si>
  <si>
    <t>Nguyễn Đình Nam</t>
  </si>
  <si>
    <t>Nguyễn Đức Hiền</t>
  </si>
  <si>
    <t>Hà Trọng Bách</t>
  </si>
  <si>
    <t>Nguyễn Hải Bình</t>
  </si>
  <si>
    <t>Đào Bùi Bảo Châu</t>
  </si>
  <si>
    <t>Giang Diệu Thanh</t>
  </si>
  <si>
    <t>Nguyễn Anh Vũ</t>
  </si>
  <si>
    <t>Nguyễn Thuý Ngọc</t>
  </si>
  <si>
    <t>Nguyễn Thanh Huyền</t>
  </si>
  <si>
    <t>Trần Duy Anh</t>
  </si>
  <si>
    <t>Trần Minh Anh</t>
  </si>
  <si>
    <t>Đào Trí Dũng</t>
  </si>
  <si>
    <t>Lã Hoàng Khánh My</t>
  </si>
  <si>
    <t>Nguyễn Hà Linh Sam</t>
  </si>
  <si>
    <t>Bùi Thanh Tâm</t>
  </si>
  <si>
    <t>Nguyễn Lê Khôi</t>
  </si>
  <si>
    <t>Lê Thị Bích Thảo</t>
  </si>
  <si>
    <t>Phạm Đức Bảo</t>
  </si>
  <si>
    <t>Nguyễn Thị Quỳnh Trang</t>
  </si>
  <si>
    <t>Đỗ Trung Kiên</t>
  </si>
  <si>
    <t>Nguyễn Tất Minh Khôi</t>
  </si>
  <si>
    <t>Nguyễn Đăng Khoa</t>
  </si>
  <si>
    <t>Đinh Thị Hà My</t>
  </si>
  <si>
    <t>An Thanh Trúc</t>
  </si>
  <si>
    <t>Nguyễn Tiến Duy</t>
  </si>
  <si>
    <t>Phan Bá Duy</t>
  </si>
  <si>
    <t>Phan Mai Chi</t>
  </si>
  <si>
    <t>Trần Hà Minh</t>
  </si>
  <si>
    <t>Đỗ Minh Tùng</t>
  </si>
  <si>
    <t>Đỗ Minh Bách</t>
  </si>
  <si>
    <t>Nguyễn Bảo Long</t>
  </si>
  <si>
    <t>Quản Thị Thanh Thanh</t>
  </si>
  <si>
    <t>Bùi Vũ Đăng Khoa</t>
  </si>
  <si>
    <t>Bùi Vũ Đăng Dương</t>
  </si>
  <si>
    <t>Vũ Đức An</t>
  </si>
  <si>
    <t>Vũ Minh Phúc</t>
  </si>
  <si>
    <t>Bùi Tường Anh</t>
  </si>
  <si>
    <t>Phan Bảo Anh</t>
  </si>
  <si>
    <t>Lê Hồng Phúc</t>
  </si>
  <si>
    <t>Lê Bảo Nam</t>
  </si>
  <si>
    <t>Phạm Ngọc Nhất</t>
  </si>
  <si>
    <t>Đỗ Thái Sơn</t>
  </si>
  <si>
    <t>Bùi Khánh Linh</t>
  </si>
  <si>
    <t>Trần Đào Minh Khoa</t>
  </si>
  <si>
    <t>Nguyễn Hưng Nam</t>
  </si>
  <si>
    <t>Hoàng Khánh Quang</t>
  </si>
  <si>
    <t>Hoàng Khánh Ngọc</t>
  </si>
  <si>
    <t>Phan Lâm Anh</t>
  </si>
  <si>
    <t>Đinh Thân Hà Linh</t>
  </si>
  <si>
    <t>Lê Thu Thảo Nguyên</t>
  </si>
  <si>
    <t>Lâm Minh Nhật</t>
  </si>
  <si>
    <t>Trần Diệu Anh</t>
  </si>
  <si>
    <t>Nguyễn Hà Phương</t>
  </si>
  <si>
    <t>Lý Đức Duy</t>
  </si>
  <si>
    <t>Nguyễn Đức Bình</t>
  </si>
  <si>
    <t>Vũ Phương Linh</t>
  </si>
  <si>
    <t>Đào Chí Thiện</t>
  </si>
  <si>
    <t>Phạm Thanh Lâm</t>
  </si>
  <si>
    <t>Lê Thanh Huyền</t>
  </si>
  <si>
    <t>Nguyễn Minh Hội</t>
  </si>
  <si>
    <t>Nguyễn Minh Nghị</t>
  </si>
  <si>
    <t>Đinh Thuỳ Linh</t>
  </si>
  <si>
    <t>Bùi Tùng Bách</t>
  </si>
  <si>
    <t>Đàm Minh Châu</t>
  </si>
  <si>
    <t>Vũ Minh Tâm</t>
  </si>
  <si>
    <t>Hoàng Nhật Anh</t>
  </si>
  <si>
    <t>Đoàn Hải Nam</t>
  </si>
  <si>
    <t>Bàng Nguyên Phong</t>
  </si>
  <si>
    <t>Trần Bảo Anh</t>
  </si>
  <si>
    <t>Đỗ Khánh Chi</t>
  </si>
  <si>
    <t>Đỗ Mộc Trà</t>
  </si>
  <si>
    <t>Nguyễn Bình An</t>
  </si>
  <si>
    <t>Nguyễn Công Hải Long</t>
  </si>
  <si>
    <t>Bùi Việt Thanh</t>
  </si>
  <si>
    <t>Lê Xuân Lâm</t>
  </si>
  <si>
    <t>Phạm Trí Dũng</t>
  </si>
  <si>
    <t>Phùng Hải Anh</t>
  </si>
  <si>
    <t>Nguyễn Thuỳ Lâm</t>
  </si>
  <si>
    <t>Phạm Huy Khang</t>
  </si>
  <si>
    <t>NAM</t>
  </si>
  <si>
    <t>2026-02-15 06:40:17.899952</t>
  </si>
  <si>
    <t>2026-02-13 00:02:52.029243</t>
  </si>
  <si>
    <t>2026-02-15 07:49:39.765018</t>
  </si>
  <si>
    <t>2026-02-15 16:22:21.709489</t>
  </si>
  <si>
    <t>2026-02-13 00:03:16.973058</t>
  </si>
  <si>
    <t>2026-02-15 16:22:09.750144</t>
  </si>
  <si>
    <t>2026-02-11 15:56:06.722623</t>
  </si>
  <si>
    <t>2026-02-13 00:01:37.092087</t>
  </si>
  <si>
    <t>2026-02-15 06:46:08.21433</t>
  </si>
  <si>
    <t>NU</t>
  </si>
  <si>
    <t>18/10/2008</t>
  </si>
  <si>
    <t>18/06/2013</t>
  </si>
  <si>
    <t>17/06/2012</t>
  </si>
  <si>
    <t>22/08/2016</t>
  </si>
  <si>
    <t>14/06/2015</t>
  </si>
  <si>
    <t>28/11/2013</t>
  </si>
  <si>
    <t>23/04/2012</t>
  </si>
  <si>
    <t>15/02/2014</t>
  </si>
  <si>
    <t>17/08/2016</t>
  </si>
  <si>
    <t>26/03/2013</t>
  </si>
  <si>
    <t>14/09/2010</t>
  </si>
  <si>
    <t>30/09/2014</t>
  </si>
  <si>
    <t>21/04/2014</t>
  </si>
  <si>
    <t>29/12/2013</t>
  </si>
  <si>
    <t>13/01/2013</t>
  </si>
  <si>
    <t>20/05/2013</t>
  </si>
  <si>
    <t>31/01/2016</t>
  </si>
  <si>
    <t>15/02/2017</t>
  </si>
  <si>
    <t>25/03/2015</t>
  </si>
  <si>
    <t>14/07/2015</t>
  </si>
  <si>
    <t>17/01/2016</t>
  </si>
  <si>
    <t>21/03/2012</t>
  </si>
  <si>
    <t>28/07/2015</t>
  </si>
  <si>
    <t>14/11/2017</t>
  </si>
  <si>
    <t>15/10/2012</t>
  </si>
  <si>
    <t>20/11/2015</t>
  </si>
  <si>
    <t>27/05/2016</t>
  </si>
  <si>
    <t>30/04/2015</t>
  </si>
  <si>
    <t>27/10/2017</t>
  </si>
  <si>
    <t>13/09/2013</t>
  </si>
  <si>
    <t>30/12/2007</t>
  </si>
  <si>
    <t>13/12/2017</t>
  </si>
  <si>
    <t>30/07/2010</t>
  </si>
  <si>
    <t>27/11/2015</t>
  </si>
  <si>
    <t>13/09/2012</t>
  </si>
  <si>
    <t>28/03/2016</t>
  </si>
  <si>
    <t>31/01/2012</t>
  </si>
  <si>
    <t>15/11/2016</t>
  </si>
  <si>
    <t>14/12/2012</t>
  </si>
  <si>
    <t>14/04/2012</t>
  </si>
  <si>
    <t>24/04/2015</t>
  </si>
  <si>
    <t>18/11/2011</t>
  </si>
  <si>
    <t>23/08/2016</t>
  </si>
  <si>
    <t>23/03/2018</t>
  </si>
  <si>
    <t>20/06/2016</t>
  </si>
  <si>
    <t>28/02/2012</t>
  </si>
  <si>
    <t>26/12/2012</t>
  </si>
  <si>
    <t>13/09/2016</t>
  </si>
  <si>
    <t>15/11/2017</t>
  </si>
  <si>
    <t>16/09/2009</t>
  </si>
  <si>
    <t>28/09/2016</t>
  </si>
  <si>
    <t>28/01/2016</t>
  </si>
  <si>
    <t>26/11/2018</t>
  </si>
  <si>
    <t>30/11/2014</t>
  </si>
  <si>
    <t>13/04/2014</t>
  </si>
  <si>
    <t>24/03/2011</t>
  </si>
  <si>
    <t>19/05/2016</t>
  </si>
  <si>
    <t>13/08/2015</t>
  </si>
  <si>
    <t>21/01/2018</t>
  </si>
  <si>
    <t>24/03/2019</t>
  </si>
  <si>
    <t>30/07/2012</t>
  </si>
  <si>
    <t>15/06/2009</t>
  </si>
  <si>
    <t>24/01/2012</t>
  </si>
  <si>
    <t>13/06/2017</t>
  </si>
  <si>
    <t>17/04/2014</t>
  </si>
  <si>
    <t>24/04/2016</t>
  </si>
  <si>
    <t>19/11/2017</t>
  </si>
  <si>
    <t>19/12/2015</t>
  </si>
  <si>
    <t>18/08/2016</t>
  </si>
  <si>
    <t>17/07/2019</t>
  </si>
  <si>
    <t>19/07/2018</t>
  </si>
  <si>
    <t>16/04/2013</t>
  </si>
  <si>
    <t>28/12/2014</t>
  </si>
  <si>
    <t>20/08/2015</t>
  </si>
  <si>
    <t>29/11/2013</t>
  </si>
  <si>
    <t>19/12/2013</t>
  </si>
  <si>
    <t>14/03/2019</t>
  </si>
  <si>
    <t>15/11/2013</t>
  </si>
  <si>
    <t>14/09/2014</t>
  </si>
  <si>
    <t>17/09/2014</t>
  </si>
  <si>
    <t>30/08/2019</t>
  </si>
  <si>
    <t>21/04/2016</t>
  </si>
  <si>
    <t>16/01/2017</t>
  </si>
  <si>
    <t>21/08/2018</t>
  </si>
  <si>
    <t>22/08/2013</t>
  </si>
  <si>
    <t>27/12/2019</t>
  </si>
  <si>
    <t>23/04/2013</t>
  </si>
  <si>
    <t>23/11/2016</t>
  </si>
  <si>
    <t>16/06/2014</t>
  </si>
  <si>
    <t>29/05/2012</t>
  </si>
  <si>
    <t>15/01/2016</t>
  </si>
  <si>
    <t>27/05/2015</t>
  </si>
  <si>
    <t>24/06/2018</t>
  </si>
  <si>
    <t>15/02/2013</t>
  </si>
  <si>
    <t>23/11/2015</t>
  </si>
  <si>
    <t>14/09/2013</t>
  </si>
  <si>
    <t>19/08/2016</t>
  </si>
  <si>
    <t>26/05/2002</t>
  </si>
  <si>
    <t>20/02/2017</t>
  </si>
  <si>
    <t>30/05/2014</t>
  </si>
  <si>
    <t>25/12/2013</t>
  </si>
  <si>
    <t>29/11/2015</t>
  </si>
  <si>
    <t>13/10/2017</t>
  </si>
  <si>
    <t>16/02/2018</t>
  </si>
  <si>
    <t>15/11/2018</t>
  </si>
  <si>
    <t>14/09/2015</t>
  </si>
  <si>
    <t>16/07/2015</t>
  </si>
  <si>
    <t>30/01/2018</t>
  </si>
  <si>
    <t>14/12/2019</t>
  </si>
  <si>
    <t>17/01/2018</t>
  </si>
  <si>
    <t>16/12/2019</t>
  </si>
  <si>
    <t>30/11/2019</t>
  </si>
  <si>
    <t>29/10/2002</t>
  </si>
  <si>
    <t>22/09/2006</t>
  </si>
  <si>
    <t>14/06/2016</t>
  </si>
  <si>
    <t>28/02/2019</t>
  </si>
  <si>
    <t>22/04/2016</t>
  </si>
  <si>
    <t>29/05/2003</t>
  </si>
  <si>
    <t>21/10/2016</t>
  </si>
  <si>
    <t>28/10/2017</t>
  </si>
  <si>
    <t>14/01/2016</t>
  </si>
  <si>
    <t>26/03/2012</t>
  </si>
  <si>
    <t>24/03/2014</t>
  </si>
  <si>
    <t>20/11/2018</t>
  </si>
  <si>
    <t>27/04/2004</t>
  </si>
  <si>
    <t>22/06/2017</t>
  </si>
  <si>
    <t>13/11/2005</t>
  </si>
  <si>
    <t>19/09/2014</t>
  </si>
  <si>
    <t>25/01/2015</t>
  </si>
  <si>
    <t>13/09/2020</t>
  </si>
  <si>
    <t>27/08/2013</t>
  </si>
  <si>
    <t>24/10/2003</t>
  </si>
  <si>
    <t>22/08/2007</t>
  </si>
  <si>
    <t>15/05/2013</t>
  </si>
  <si>
    <t>17/07/2013</t>
  </si>
  <si>
    <t>13/07/2017</t>
  </si>
  <si>
    <t>13/02/2017</t>
  </si>
  <si>
    <t>28/05/2017</t>
  </si>
  <si>
    <t>19/07/2007</t>
  </si>
  <si>
    <t>17/05/2012</t>
  </si>
  <si>
    <t>16/08/2003</t>
  </si>
  <si>
    <t>28/07/2017</t>
  </si>
  <si>
    <t>25/02/2013</t>
  </si>
  <si>
    <t>24/10/2005</t>
  </si>
  <si>
    <t>20/03/2016</t>
  </si>
  <si>
    <t>18/07/2017</t>
  </si>
  <si>
    <t>27/01/2017</t>
  </si>
  <si>
    <t>16/09/2015</t>
  </si>
  <si>
    <t>28/09/2012</t>
  </si>
  <si>
    <t>Nguyễn Đức Hoàng</t>
  </si>
  <si>
    <t>Nguyễn Hà Linh</t>
  </si>
  <si>
    <t>Nguyễn Đình Lâm</t>
  </si>
  <si>
    <t>Đinh Minh Châu</t>
  </si>
  <si>
    <t>22/02/2008</t>
  </si>
  <si>
    <t>Họ và tên</t>
  </si>
  <si>
    <t>Giới tính</t>
  </si>
  <si>
    <t>Ngày sinh</t>
  </si>
  <si>
    <t>Đơn vị</t>
  </si>
  <si>
    <t>CS 6</t>
  </si>
  <si>
    <t>CS 3</t>
  </si>
  <si>
    <t>CS 7</t>
  </si>
  <si>
    <t>CS 4</t>
  </si>
  <si>
    <t>CS 5</t>
  </si>
  <si>
    <t>CS 2</t>
  </si>
  <si>
    <t>CS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</si>
</sst>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1" applyAlignment="1">
      <alignment wrapText="1"/>
    </xf>
    <xf numFmtId="0" fontId="4" fillId="0" borderId="6" xfId="1" applyFont="1" applyBorder="1"/>
    <xf numFmtId="0" fontId="4" fillId="0" borderId="6" xfId="1" applyFont="1" applyBorder="1" applyAlignment="1">
      <alignment horizontal="center"/>
    </xf>
    <xf numFmtId="0" fontId="3" fillId="0" borderId="0" xfId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164" fontId="0" fillId="0" borderId="0" xfId="0" applyNumberFormat="1"/>
    <xf numFmtId="0" fontId="5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14" fontId="2" fillId="0" borderId="5" xfId="0" applyNumberFormat="1" applyFont="1" applyBorder="1" applyAlignment="1">
      <alignment horizontal="center" wrapText="1"/>
    </xf>
    <xf numFmtId="14" fontId="0" fillId="0" borderId="1" xfId="0" applyNumberFormat="1" applyBorder="1"/>
  </cellXfs>
  <cellStyles count="2">
    <cellStyle name="Normal" xfId="0" builtinId="0"/>
    <cellStyle name="Normal 2" xfId="1" xr:uid="{02AF262A-A8CE-4A7C-92FE-87997D26B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3DC1-940C-498E-992C-659C7E33871E}">
  <dimension ref="B1:Q262"/>
  <sheetViews>
    <sheetView tabSelected="1" topLeftCell="A75" zoomScale="87" zoomScaleNormal="87" workbookViewId="0">
      <selection activeCell="I262" sqref="I262"/>
    </sheetView>
  </sheetViews>
  <sheetFormatPr defaultRowHeight="15" x14ac:dyDescent="0.25"/>
  <cols>
    <col min="2" max="2" width="25.85546875" customWidth="1"/>
    <col min="3" max="3" width="8.42578125" hidden="1" customWidth="1"/>
    <col min="4" max="4" width="57.5703125" customWidth="1"/>
    <col min="5" max="5" width="23.5703125" customWidth="1"/>
    <col min="6" max="6" width="13.5703125" customWidth="1"/>
    <col min="8" max="8" width="34" customWidth="1"/>
    <col min="9" max="9" width="44.5703125" customWidth="1"/>
    <col min="10" max="10" width="14.7109375" customWidth="1"/>
    <col min="11" max="11" width="28.85546875" style="13" customWidth="1"/>
    <col min="12" max="12" width="4.140625" customWidth="1"/>
    <col min="13" max="13" width="11.7109375" customWidth="1"/>
    <col min="14" max="14" width="7.5703125" bestFit="1" customWidth="1"/>
    <col min="15" max="15" width="49.5703125" bestFit="1" customWidth="1"/>
    <col min="16" max="17" width="35.140625" bestFit="1" customWidth="1"/>
    <col min="18" max="24" width="9.140625" customWidth="1"/>
  </cols>
  <sheetData>
    <row r="1" spans="2:17" ht="15.75" thickBot="1" x14ac:dyDescent="0.3">
      <c r="B1" s="1" t="s">
        <v>420</v>
      </c>
      <c r="C1" s="1" t="s">
        <v>0</v>
      </c>
      <c r="D1" s="1" t="s">
        <v>423</v>
      </c>
      <c r="E1" s="1" t="s">
        <v>421</v>
      </c>
      <c r="F1" s="1" t="s">
        <v>422</v>
      </c>
      <c r="J1" s="2"/>
      <c r="K1" s="12"/>
      <c r="L1" s="3"/>
    </row>
    <row r="2" spans="2:17" ht="19.5" thickBot="1" x14ac:dyDescent="0.35">
      <c r="B2" s="14" t="s">
        <v>1</v>
      </c>
      <c r="C2" s="7">
        <f>+VLOOKUP(B2,J2:$L$257,3,0)</f>
        <v>1</v>
      </c>
      <c r="D2" s="15" t="str">
        <f>+VLOOKUP(C2,$N$8:$O$14,2,0)</f>
        <v>CS 1</v>
      </c>
      <c r="E2" s="1" t="s">
        <v>255</v>
      </c>
      <c r="F2" s="17" t="str">
        <f>+VLOOKUP(B2,$J$1:$K$259,2,0)</f>
        <v>18/10/2008</v>
      </c>
      <c r="J2" s="5" t="s">
        <v>1</v>
      </c>
      <c r="K2" s="6" t="s">
        <v>266</v>
      </c>
      <c r="L2" s="6">
        <v>1</v>
      </c>
      <c r="M2" s="13"/>
    </row>
    <row r="3" spans="2:17" ht="19.5" thickBot="1" x14ac:dyDescent="0.35">
      <c r="B3" s="14" t="s">
        <v>2</v>
      </c>
      <c r="C3" s="7">
        <f>+VLOOKUP(B3,J3:$L$257,3,0)</f>
        <v>1</v>
      </c>
      <c r="D3" s="15" t="str">
        <f>+VLOOKUP(C3,$N$8:$O$14,2,0)</f>
        <v>CS 1</v>
      </c>
      <c r="E3" s="1" t="s">
        <v>255</v>
      </c>
      <c r="F3" s="17">
        <f>+VLOOKUP(B3,$J$1:$K$259,2,0)</f>
        <v>41951</v>
      </c>
      <c r="J3" s="5" t="s">
        <v>2</v>
      </c>
      <c r="K3" s="16">
        <v>41951</v>
      </c>
      <c r="L3" s="6">
        <v>1</v>
      </c>
    </row>
    <row r="4" spans="2:17" ht="27.75" thickBot="1" x14ac:dyDescent="0.35">
      <c r="B4" s="14" t="s">
        <v>3</v>
      </c>
      <c r="C4" s="7">
        <f>+VLOOKUP(B4,J4:$L$257,3,0)</f>
        <v>1</v>
      </c>
      <c r="D4" s="15" t="str">
        <f t="shared" ref="D4:D66" si="0">+VLOOKUP(C4,$N$8:$O$14,2,0)</f>
        <v>CS 1</v>
      </c>
      <c r="E4" s="1" t="s">
        <v>255</v>
      </c>
      <c r="F4" s="17">
        <f>+VLOOKUP(B4,$J$1:$K$259,2,0)</f>
        <v>42156</v>
      </c>
      <c r="J4" s="5" t="s">
        <v>3</v>
      </c>
      <c r="K4" s="16">
        <v>42156</v>
      </c>
      <c r="L4" s="6">
        <v>1</v>
      </c>
    </row>
    <row r="5" spans="2:17" ht="21" customHeight="1" thickBot="1" x14ac:dyDescent="0.35">
      <c r="B5" s="14" t="s">
        <v>4</v>
      </c>
      <c r="C5" s="7">
        <f>+VLOOKUP(B5,J5:$L$257,3,0)</f>
        <v>1</v>
      </c>
      <c r="D5" s="15" t="str">
        <f t="shared" si="0"/>
        <v>CS 1</v>
      </c>
      <c r="E5" s="1" t="s">
        <v>255</v>
      </c>
      <c r="F5" s="17" t="str">
        <f t="shared" ref="F4:F66" si="1">+VLOOKUP(B5,$J$1:$K$259,2,0)</f>
        <v>18/06/2013</v>
      </c>
      <c r="J5" s="5" t="s">
        <v>4</v>
      </c>
      <c r="K5" s="6" t="s">
        <v>267</v>
      </c>
      <c r="L5" s="6">
        <v>1</v>
      </c>
    </row>
    <row r="6" spans="2:17" ht="27.75" thickBot="1" x14ac:dyDescent="0.35">
      <c r="B6" s="14" t="s">
        <v>5</v>
      </c>
      <c r="C6" s="7">
        <f>+VLOOKUP(B6,J6:$L$257,3,0)</f>
        <v>1</v>
      </c>
      <c r="D6" s="15" t="str">
        <f t="shared" si="0"/>
        <v>CS 1</v>
      </c>
      <c r="E6" s="1" t="s">
        <v>265</v>
      </c>
      <c r="F6" s="17" t="str">
        <f t="shared" si="1"/>
        <v>17/06/2012</v>
      </c>
      <c r="J6" s="5" t="s">
        <v>5</v>
      </c>
      <c r="K6" s="6" t="s">
        <v>268</v>
      </c>
      <c r="L6" s="6">
        <v>1</v>
      </c>
    </row>
    <row r="7" spans="2:17" ht="27.75" thickBot="1" x14ac:dyDescent="0.35">
      <c r="B7" s="14" t="s">
        <v>6</v>
      </c>
      <c r="C7" s="7">
        <f>+VLOOKUP(B7,J7:$L$257,3,0)</f>
        <v>1</v>
      </c>
      <c r="D7" s="15" t="str">
        <f t="shared" si="0"/>
        <v>CS 1</v>
      </c>
      <c r="E7" s="1" t="s">
        <v>255</v>
      </c>
      <c r="F7" s="17" t="str">
        <f t="shared" si="1"/>
        <v>22/08/2016</v>
      </c>
      <c r="J7" s="5" t="s">
        <v>6</v>
      </c>
      <c r="K7" s="6" t="s">
        <v>269</v>
      </c>
      <c r="L7" s="6">
        <v>1</v>
      </c>
      <c r="N7" s="10"/>
      <c r="O7" s="9"/>
      <c r="P7" s="9"/>
      <c r="Q7" s="9"/>
    </row>
    <row r="8" spans="2:17" ht="39" customHeight="1" thickBot="1" x14ac:dyDescent="0.35">
      <c r="B8" s="14" t="s">
        <v>7</v>
      </c>
      <c r="C8" s="7">
        <f>+VLOOKUP(B8,J8:$L$257,3,0)</f>
        <v>1</v>
      </c>
      <c r="D8" s="15" t="str">
        <f t="shared" si="0"/>
        <v>CS 1</v>
      </c>
      <c r="E8" s="1" t="s">
        <v>255</v>
      </c>
      <c r="F8" s="17" t="str">
        <f t="shared" si="1"/>
        <v>14/06/2015</v>
      </c>
      <c r="J8" s="5" t="s">
        <v>7</v>
      </c>
      <c r="K8" s="6" t="s">
        <v>270</v>
      </c>
      <c r="L8" s="6">
        <v>1</v>
      </c>
      <c r="N8" s="11">
        <v>6</v>
      </c>
      <c r="O8" s="8" t="s">
        <v>424</v>
      </c>
      <c r="P8" s="8" t="s">
        <v>256</v>
      </c>
      <c r="Q8" s="8" t="s">
        <v>256</v>
      </c>
    </row>
    <row r="9" spans="2:17" ht="27.75" customHeight="1" thickBot="1" x14ac:dyDescent="0.35">
      <c r="B9" s="14" t="s">
        <v>8</v>
      </c>
      <c r="C9" s="7">
        <f>+VLOOKUP(B9,J9:$L$257,3,0)</f>
        <v>1</v>
      </c>
      <c r="D9" s="15" t="str">
        <f t="shared" si="0"/>
        <v>CS 1</v>
      </c>
      <c r="E9" s="1" t="s">
        <v>255</v>
      </c>
      <c r="F9" s="17" t="str">
        <f t="shared" si="1"/>
        <v>28/11/2013</v>
      </c>
      <c r="J9" s="5" t="s">
        <v>8</v>
      </c>
      <c r="K9" s="6" t="s">
        <v>271</v>
      </c>
      <c r="L9" s="6">
        <v>1</v>
      </c>
      <c r="N9" s="11">
        <v>3</v>
      </c>
      <c r="O9" s="8" t="s">
        <v>425</v>
      </c>
      <c r="P9" s="8" t="s">
        <v>257</v>
      </c>
      <c r="Q9" s="8" t="s">
        <v>257</v>
      </c>
    </row>
    <row r="10" spans="2:17" ht="28.5" customHeight="1" thickBot="1" x14ac:dyDescent="0.35">
      <c r="B10" s="14" t="s">
        <v>9</v>
      </c>
      <c r="C10" s="7">
        <f>+VLOOKUP(B10,J10:$L$257,3,0)</f>
        <v>1</v>
      </c>
      <c r="D10" s="15" t="str">
        <f t="shared" si="0"/>
        <v>CS 1</v>
      </c>
      <c r="E10" s="1" t="s">
        <v>255</v>
      </c>
      <c r="F10" s="17">
        <f t="shared" si="1"/>
        <v>41000</v>
      </c>
      <c r="J10" s="5" t="s">
        <v>9</v>
      </c>
      <c r="K10" s="16">
        <v>41000</v>
      </c>
      <c r="L10" s="6">
        <v>1</v>
      </c>
      <c r="N10" s="11">
        <v>7</v>
      </c>
      <c r="O10" s="8" t="s">
        <v>426</v>
      </c>
      <c r="P10" s="8" t="s">
        <v>258</v>
      </c>
      <c r="Q10" s="8" t="s">
        <v>259</v>
      </c>
    </row>
    <row r="11" spans="2:17" ht="23.25" customHeight="1" thickBot="1" x14ac:dyDescent="0.35">
      <c r="B11" s="14" t="s">
        <v>10</v>
      </c>
      <c r="C11" s="7">
        <f>+VLOOKUP(B11,J11:$L$257,3,0)</f>
        <v>1</v>
      </c>
      <c r="D11" s="15" t="str">
        <f>+VLOOKUP(C11,$N$8:$O$14,2,0)</f>
        <v>CS 1</v>
      </c>
      <c r="E11" s="1" t="s">
        <v>255</v>
      </c>
      <c r="F11" s="17">
        <f t="shared" si="1"/>
        <v>42218</v>
      </c>
      <c r="J11" s="5" t="s">
        <v>10</v>
      </c>
      <c r="K11" s="16">
        <v>42218</v>
      </c>
      <c r="L11" s="6">
        <v>1</v>
      </c>
      <c r="N11" s="11">
        <v>4</v>
      </c>
      <c r="O11" s="8" t="s">
        <v>427</v>
      </c>
      <c r="P11" s="8" t="s">
        <v>260</v>
      </c>
      <c r="Q11" s="8" t="s">
        <v>261</v>
      </c>
    </row>
    <row r="12" spans="2:17" ht="31.5" customHeight="1" thickBot="1" x14ac:dyDescent="0.35">
      <c r="B12" s="14" t="s">
        <v>11</v>
      </c>
      <c r="C12" s="7">
        <f>+VLOOKUP(B12,J12:$L$257,3,0)</f>
        <v>2</v>
      </c>
      <c r="D12" s="15" t="str">
        <f t="shared" si="0"/>
        <v>CS 2</v>
      </c>
      <c r="E12" s="1" t="s">
        <v>255</v>
      </c>
      <c r="F12" s="17" t="str">
        <f t="shared" si="1"/>
        <v>23/04/2012</v>
      </c>
      <c r="J12" s="5" t="s">
        <v>11</v>
      </c>
      <c r="K12" s="6" t="s">
        <v>272</v>
      </c>
      <c r="L12" s="6">
        <v>2</v>
      </c>
      <c r="N12" s="11">
        <v>5</v>
      </c>
      <c r="O12" s="8" t="s">
        <v>428</v>
      </c>
      <c r="P12" s="8" t="s">
        <v>262</v>
      </c>
      <c r="Q12" s="8" t="s">
        <v>262</v>
      </c>
    </row>
    <row r="13" spans="2:17" ht="28.5" customHeight="1" thickBot="1" x14ac:dyDescent="0.35">
      <c r="B13" s="14" t="s">
        <v>12</v>
      </c>
      <c r="C13" s="7">
        <f>+VLOOKUP(B13,J13:$L$257,3,0)</f>
        <v>1</v>
      </c>
      <c r="D13" s="15" t="str">
        <f t="shared" si="0"/>
        <v>CS 1</v>
      </c>
      <c r="E13" s="1" t="s">
        <v>255</v>
      </c>
      <c r="F13" s="17" t="str">
        <f t="shared" si="1"/>
        <v>15/02/2014</v>
      </c>
      <c r="J13" s="5" t="s">
        <v>12</v>
      </c>
      <c r="K13" s="6" t="s">
        <v>273</v>
      </c>
      <c r="L13" s="6">
        <v>1</v>
      </c>
      <c r="N13" s="11">
        <v>2</v>
      </c>
      <c r="O13" s="8" t="s">
        <v>429</v>
      </c>
      <c r="P13" s="8" t="s">
        <v>263</v>
      </c>
      <c r="Q13" s="8" t="s">
        <v>263</v>
      </c>
    </row>
    <row r="14" spans="2:17" ht="26.25" customHeight="1" thickBot="1" x14ac:dyDescent="0.35">
      <c r="B14" s="14" t="s">
        <v>13</v>
      </c>
      <c r="C14" s="7">
        <f>+VLOOKUP(B14,J14:$L$257,3,0)</f>
        <v>1</v>
      </c>
      <c r="D14" s="15" t="str">
        <f t="shared" si="0"/>
        <v>CS 1</v>
      </c>
      <c r="E14" s="1" t="s">
        <v>265</v>
      </c>
      <c r="F14" s="17">
        <f t="shared" si="1"/>
        <v>41101</v>
      </c>
      <c r="J14" s="5" t="s">
        <v>13</v>
      </c>
      <c r="K14" s="16">
        <v>41101</v>
      </c>
      <c r="L14" s="6">
        <v>1</v>
      </c>
      <c r="N14" s="4">
        <v>1</v>
      </c>
      <c r="O14" s="8" t="s">
        <v>430</v>
      </c>
      <c r="P14" s="8" t="s">
        <v>264</v>
      </c>
      <c r="Q14" s="8" t="s">
        <v>264</v>
      </c>
    </row>
    <row r="15" spans="2:17" ht="19.5" thickBot="1" x14ac:dyDescent="0.35">
      <c r="B15" s="14" t="s">
        <v>14</v>
      </c>
      <c r="C15" s="7">
        <f>+VLOOKUP(B15,J15:$L$257,3,0)</f>
        <v>1</v>
      </c>
      <c r="D15" s="15" t="str">
        <f t="shared" si="0"/>
        <v>CS 1</v>
      </c>
      <c r="E15" s="1" t="s">
        <v>255</v>
      </c>
      <c r="F15" s="17" t="str">
        <f t="shared" si="1"/>
        <v>17/08/2016</v>
      </c>
      <c r="J15" s="5" t="s">
        <v>14</v>
      </c>
      <c r="K15" s="6" t="s">
        <v>274</v>
      </c>
      <c r="L15" s="6">
        <v>1</v>
      </c>
    </row>
    <row r="16" spans="2:17" ht="19.5" thickBot="1" x14ac:dyDescent="0.35">
      <c r="B16" s="14" t="s">
        <v>15</v>
      </c>
      <c r="C16" s="7">
        <f>+VLOOKUP(B16,J16:$L$257,3,0)</f>
        <v>1</v>
      </c>
      <c r="D16" s="15" t="str">
        <f t="shared" si="0"/>
        <v>CS 1</v>
      </c>
      <c r="E16" s="1" t="s">
        <v>255</v>
      </c>
      <c r="F16" s="17">
        <f t="shared" si="1"/>
        <v>43377</v>
      </c>
      <c r="J16" s="5" t="s">
        <v>15</v>
      </c>
      <c r="K16" s="16">
        <v>43377</v>
      </c>
      <c r="L16" s="6">
        <v>1</v>
      </c>
    </row>
    <row r="17" spans="2:12" ht="19.5" thickBot="1" x14ac:dyDescent="0.35">
      <c r="B17" s="14" t="s">
        <v>16</v>
      </c>
      <c r="C17" s="7">
        <f>+VLOOKUP(B17,J17:$L$257,3,0)</f>
        <v>4</v>
      </c>
      <c r="D17" s="15" t="str">
        <f t="shared" si="0"/>
        <v>CS 4</v>
      </c>
      <c r="E17" s="1" t="s">
        <v>255</v>
      </c>
      <c r="F17" s="17" t="str">
        <f t="shared" si="1"/>
        <v>26/03/2013</v>
      </c>
      <c r="J17" s="5" t="s">
        <v>16</v>
      </c>
      <c r="K17" s="6" t="s">
        <v>275</v>
      </c>
      <c r="L17" s="6">
        <v>4</v>
      </c>
    </row>
    <row r="18" spans="2:12" ht="27.75" thickBot="1" x14ac:dyDescent="0.35">
      <c r="B18" s="14" t="s">
        <v>17</v>
      </c>
      <c r="C18" s="7">
        <f>+VLOOKUP(B18,J18:$L$257,3,0)</f>
        <v>1</v>
      </c>
      <c r="D18" s="15" t="str">
        <f t="shared" si="0"/>
        <v>CS 1</v>
      </c>
      <c r="E18" s="1" t="s">
        <v>255</v>
      </c>
      <c r="F18" s="17">
        <f t="shared" si="1"/>
        <v>42258</v>
      </c>
      <c r="J18" s="5" t="s">
        <v>17</v>
      </c>
      <c r="K18" s="16">
        <v>42258</v>
      </c>
      <c r="L18" s="6">
        <v>1</v>
      </c>
    </row>
    <row r="19" spans="2:12" ht="27.75" thickBot="1" x14ac:dyDescent="0.35">
      <c r="B19" s="14" t="s">
        <v>18</v>
      </c>
      <c r="C19" s="7">
        <f>+VLOOKUP(B19,J19:$L$257,3,0)</f>
        <v>1</v>
      </c>
      <c r="D19" s="15" t="str">
        <f t="shared" si="0"/>
        <v>CS 1</v>
      </c>
      <c r="E19" s="1" t="s">
        <v>265</v>
      </c>
      <c r="F19" s="17">
        <f t="shared" si="1"/>
        <v>41366</v>
      </c>
      <c r="J19" s="5" t="s">
        <v>18</v>
      </c>
      <c r="K19" s="16">
        <v>41366</v>
      </c>
      <c r="L19" s="6">
        <v>1</v>
      </c>
    </row>
    <row r="20" spans="2:12" ht="27.75" thickBot="1" x14ac:dyDescent="0.35">
      <c r="B20" s="14" t="s">
        <v>19</v>
      </c>
      <c r="C20" s="7">
        <f>+VLOOKUP(B20,J20:$L$257,3,0)</f>
        <v>4</v>
      </c>
      <c r="D20" s="15" t="str">
        <f t="shared" si="0"/>
        <v>CS 4</v>
      </c>
      <c r="E20" s="1" t="s">
        <v>255</v>
      </c>
      <c r="F20" s="17">
        <f t="shared" si="1"/>
        <v>42347</v>
      </c>
      <c r="J20" s="5" t="s">
        <v>19</v>
      </c>
      <c r="K20" s="16">
        <v>42347</v>
      </c>
      <c r="L20" s="6">
        <v>4</v>
      </c>
    </row>
    <row r="21" spans="2:12" ht="27.75" thickBot="1" x14ac:dyDescent="0.35">
      <c r="B21" s="14" t="s">
        <v>20</v>
      </c>
      <c r="C21" s="7">
        <f>+VLOOKUP(B21,J21:$L$257,3,0)</f>
        <v>4</v>
      </c>
      <c r="D21" s="15" t="str">
        <f t="shared" si="0"/>
        <v>CS 4</v>
      </c>
      <c r="E21" s="1" t="s">
        <v>255</v>
      </c>
      <c r="F21" s="17" t="str">
        <f t="shared" si="1"/>
        <v>14/09/2010</v>
      </c>
      <c r="J21" s="5" t="s">
        <v>20</v>
      </c>
      <c r="K21" s="6" t="s">
        <v>276</v>
      </c>
      <c r="L21" s="6">
        <v>4</v>
      </c>
    </row>
    <row r="22" spans="2:12" ht="27.75" thickBot="1" x14ac:dyDescent="0.35">
      <c r="B22" s="14" t="s">
        <v>21</v>
      </c>
      <c r="C22" s="7">
        <f>+VLOOKUP(B22,J22:$L$257,3,0)</f>
        <v>1</v>
      </c>
      <c r="D22" s="15" t="str">
        <f t="shared" si="0"/>
        <v>CS 1</v>
      </c>
      <c r="E22" s="1" t="s">
        <v>265</v>
      </c>
      <c r="F22" s="17" t="str">
        <f t="shared" si="1"/>
        <v>30/09/2014</v>
      </c>
      <c r="J22" s="5" t="s">
        <v>21</v>
      </c>
      <c r="K22" s="6" t="s">
        <v>277</v>
      </c>
      <c r="L22" s="6">
        <v>1</v>
      </c>
    </row>
    <row r="23" spans="2:12" ht="27.75" thickBot="1" x14ac:dyDescent="0.35">
      <c r="B23" s="14" t="s">
        <v>22</v>
      </c>
      <c r="C23" s="7">
        <f>+VLOOKUP(B23,J23:$L$257,3,0)</f>
        <v>5</v>
      </c>
      <c r="D23" s="15" t="str">
        <f t="shared" si="0"/>
        <v>CS 5</v>
      </c>
      <c r="E23" s="1" t="s">
        <v>255</v>
      </c>
      <c r="F23" s="17" t="str">
        <f t="shared" si="1"/>
        <v>21/04/2014</v>
      </c>
      <c r="J23" s="5" t="s">
        <v>22</v>
      </c>
      <c r="K23" s="6" t="s">
        <v>278</v>
      </c>
      <c r="L23" s="6">
        <v>5</v>
      </c>
    </row>
    <row r="24" spans="2:12" ht="19.5" thickBot="1" x14ac:dyDescent="0.35">
      <c r="B24" s="14" t="s">
        <v>23</v>
      </c>
      <c r="C24" s="7">
        <f>+VLOOKUP(B24,J24:$L$257,3,0)</f>
        <v>5</v>
      </c>
      <c r="D24" s="15" t="str">
        <f t="shared" si="0"/>
        <v>CS 5</v>
      </c>
      <c r="E24" s="1" t="s">
        <v>255</v>
      </c>
      <c r="F24" s="17">
        <f t="shared" si="1"/>
        <v>41944</v>
      </c>
      <c r="J24" s="5" t="s">
        <v>23</v>
      </c>
      <c r="K24" s="16">
        <v>41944</v>
      </c>
      <c r="L24" s="6">
        <v>5</v>
      </c>
    </row>
    <row r="25" spans="2:12" ht="19.5" thickBot="1" x14ac:dyDescent="0.35">
      <c r="B25" s="14" t="s">
        <v>24</v>
      </c>
      <c r="C25" s="7">
        <f>+VLOOKUP(B25,J25:$L$257,3,0)</f>
        <v>5</v>
      </c>
      <c r="D25" s="15" t="str">
        <f t="shared" si="0"/>
        <v>CS 5</v>
      </c>
      <c r="E25" s="1" t="s">
        <v>255</v>
      </c>
      <c r="F25" s="17">
        <f t="shared" si="1"/>
        <v>42249</v>
      </c>
      <c r="J25" s="5" t="s">
        <v>24</v>
      </c>
      <c r="K25" s="16">
        <v>42249</v>
      </c>
      <c r="L25" s="6">
        <v>5</v>
      </c>
    </row>
    <row r="26" spans="2:12" ht="27.75" thickBot="1" x14ac:dyDescent="0.35">
      <c r="B26" s="14" t="s">
        <v>25</v>
      </c>
      <c r="C26" s="7">
        <f>+VLOOKUP(B26,J26:$L$257,3,0)</f>
        <v>5</v>
      </c>
      <c r="D26" s="15" t="str">
        <f t="shared" si="0"/>
        <v>CS 5</v>
      </c>
      <c r="E26" s="1" t="s">
        <v>255</v>
      </c>
      <c r="F26" s="17">
        <f t="shared" si="1"/>
        <v>41590</v>
      </c>
      <c r="J26" s="5" t="s">
        <v>25</v>
      </c>
      <c r="K26" s="16">
        <v>41590</v>
      </c>
      <c r="L26" s="6">
        <v>5</v>
      </c>
    </row>
    <row r="27" spans="2:12" ht="27.75" thickBot="1" x14ac:dyDescent="0.35">
      <c r="B27" s="14" t="s">
        <v>26</v>
      </c>
      <c r="C27" s="7">
        <f>+VLOOKUP(B27,J27:$L$257,3,0)</f>
        <v>5</v>
      </c>
      <c r="D27" s="15" t="str">
        <f t="shared" si="0"/>
        <v>CS 5</v>
      </c>
      <c r="E27" s="1" t="s">
        <v>265</v>
      </c>
      <c r="F27" s="17">
        <f t="shared" si="1"/>
        <v>41061</v>
      </c>
      <c r="J27" s="5" t="s">
        <v>26</v>
      </c>
      <c r="K27" s="16">
        <v>41061</v>
      </c>
      <c r="L27" s="6">
        <v>5</v>
      </c>
    </row>
    <row r="28" spans="2:12" ht="19.5" thickBot="1" x14ac:dyDescent="0.35">
      <c r="B28" s="14" t="s">
        <v>27</v>
      </c>
      <c r="C28" s="7">
        <f>+VLOOKUP(B28,J28:$L$257,3,0)</f>
        <v>5</v>
      </c>
      <c r="D28" s="15" t="str">
        <f t="shared" si="0"/>
        <v>CS 5</v>
      </c>
      <c r="E28" s="1" t="s">
        <v>255</v>
      </c>
      <c r="F28" s="17">
        <f t="shared" si="1"/>
        <v>41703</v>
      </c>
      <c r="J28" s="5" t="s">
        <v>27</v>
      </c>
      <c r="K28" s="16">
        <v>41703</v>
      </c>
      <c r="L28" s="6">
        <v>5</v>
      </c>
    </row>
    <row r="29" spans="2:12" ht="19.5" thickBot="1" x14ac:dyDescent="0.35">
      <c r="B29" s="14" t="s">
        <v>28</v>
      </c>
      <c r="C29" s="7">
        <f>+VLOOKUP(B29,J29:$L$257,3,0)</f>
        <v>5</v>
      </c>
      <c r="D29" s="15" t="str">
        <f t="shared" si="0"/>
        <v>CS 5</v>
      </c>
      <c r="E29" s="1" t="s">
        <v>255</v>
      </c>
      <c r="F29" s="17" t="str">
        <f t="shared" si="1"/>
        <v>29/12/2013</v>
      </c>
      <c r="J29" s="5" t="s">
        <v>28</v>
      </c>
      <c r="K29" s="6" t="s">
        <v>279</v>
      </c>
      <c r="L29" s="6">
        <v>5</v>
      </c>
    </row>
    <row r="30" spans="2:12" ht="27.75" thickBot="1" x14ac:dyDescent="0.35">
      <c r="B30" s="14" t="s">
        <v>29</v>
      </c>
      <c r="C30" s="7">
        <f>+VLOOKUP(B30,J30:$L$257,3,0)</f>
        <v>5</v>
      </c>
      <c r="D30" s="15" t="str">
        <f t="shared" si="0"/>
        <v>CS 5</v>
      </c>
      <c r="E30" s="1" t="s">
        <v>265</v>
      </c>
      <c r="F30" s="17" t="str">
        <f t="shared" si="1"/>
        <v>13/01/2013</v>
      </c>
      <c r="J30" s="5" t="s">
        <v>29</v>
      </c>
      <c r="K30" s="6" t="s">
        <v>280</v>
      </c>
      <c r="L30" s="6">
        <v>5</v>
      </c>
    </row>
    <row r="31" spans="2:12" ht="27.75" thickBot="1" x14ac:dyDescent="0.35">
      <c r="B31" s="14" t="s">
        <v>30</v>
      </c>
      <c r="C31" s="7">
        <f>+VLOOKUP(B31,J31:$L$257,3,0)</f>
        <v>1</v>
      </c>
      <c r="D31" s="15" t="str">
        <f t="shared" si="0"/>
        <v>CS 1</v>
      </c>
      <c r="E31" s="1" t="s">
        <v>265</v>
      </c>
      <c r="F31" s="17" t="str">
        <f t="shared" si="1"/>
        <v>20/05/2013</v>
      </c>
      <c r="J31" s="5" t="s">
        <v>30</v>
      </c>
      <c r="K31" s="6" t="s">
        <v>281</v>
      </c>
      <c r="L31" s="6">
        <v>1</v>
      </c>
    </row>
    <row r="32" spans="2:12" ht="27.75" thickBot="1" x14ac:dyDescent="0.35">
      <c r="B32" s="14" t="s">
        <v>31</v>
      </c>
      <c r="C32" s="7">
        <f>+VLOOKUP(B32,J32:$L$257,3,0)</f>
        <v>3</v>
      </c>
      <c r="D32" s="15" t="str">
        <f t="shared" si="0"/>
        <v>CS 3</v>
      </c>
      <c r="E32" s="1" t="s">
        <v>255</v>
      </c>
      <c r="F32" s="17">
        <f t="shared" si="1"/>
        <v>41128</v>
      </c>
      <c r="J32" s="5" t="s">
        <v>31</v>
      </c>
      <c r="K32" s="16">
        <v>41128</v>
      </c>
      <c r="L32" s="6">
        <v>3</v>
      </c>
    </row>
    <row r="33" spans="2:12" ht="27.75" thickBot="1" x14ac:dyDescent="0.35">
      <c r="B33" s="14" t="s">
        <v>32</v>
      </c>
      <c r="C33" s="7">
        <f>+VLOOKUP(B33,J33:$L$257,3,0)</f>
        <v>5</v>
      </c>
      <c r="D33" s="15" t="str">
        <f t="shared" si="0"/>
        <v>CS 5</v>
      </c>
      <c r="E33" s="1" t="s">
        <v>255</v>
      </c>
      <c r="F33" s="17" t="str">
        <f t="shared" si="1"/>
        <v>31/01/2016</v>
      </c>
      <c r="J33" s="5" t="s">
        <v>32</v>
      </c>
      <c r="K33" s="6" t="s">
        <v>282</v>
      </c>
      <c r="L33" s="6">
        <v>5</v>
      </c>
    </row>
    <row r="34" spans="2:12" ht="27.75" thickBot="1" x14ac:dyDescent="0.35">
      <c r="B34" s="14" t="s">
        <v>33</v>
      </c>
      <c r="C34" s="7">
        <f>+VLOOKUP(B34,J34:$L$257,3,0)</f>
        <v>5</v>
      </c>
      <c r="D34" s="15" t="str">
        <f t="shared" si="0"/>
        <v>CS 5</v>
      </c>
      <c r="E34" s="1" t="s">
        <v>255</v>
      </c>
      <c r="F34" s="17" t="str">
        <f t="shared" si="1"/>
        <v>15/02/2017</v>
      </c>
      <c r="J34" s="5" t="s">
        <v>33</v>
      </c>
      <c r="K34" s="6" t="s">
        <v>283</v>
      </c>
      <c r="L34" s="6">
        <v>5</v>
      </c>
    </row>
    <row r="35" spans="2:12" ht="19.5" thickBot="1" x14ac:dyDescent="0.35">
      <c r="B35" s="14" t="s">
        <v>34</v>
      </c>
      <c r="C35" s="7">
        <f>+VLOOKUP(B35,J35:$L$257,3,0)</f>
        <v>5</v>
      </c>
      <c r="D35" s="15" t="str">
        <f t="shared" si="0"/>
        <v>CS 5</v>
      </c>
      <c r="E35" s="1" t="s">
        <v>255</v>
      </c>
      <c r="F35" s="17">
        <f t="shared" si="1"/>
        <v>42925</v>
      </c>
      <c r="J35" s="5" t="s">
        <v>34</v>
      </c>
      <c r="K35" s="16">
        <v>42925</v>
      </c>
      <c r="L35" s="6">
        <v>5</v>
      </c>
    </row>
    <row r="36" spans="2:12" ht="19.5" thickBot="1" x14ac:dyDescent="0.35">
      <c r="B36" s="14" t="s">
        <v>35</v>
      </c>
      <c r="C36" s="7">
        <f>+VLOOKUP(B36,J36:$L$257,3,0)</f>
        <v>2</v>
      </c>
      <c r="D36" s="15" t="str">
        <f t="shared" si="0"/>
        <v>CS 2</v>
      </c>
      <c r="E36" s="1" t="s">
        <v>255</v>
      </c>
      <c r="F36" s="17" t="str">
        <f t="shared" si="1"/>
        <v>25/03/2015</v>
      </c>
      <c r="J36" s="5" t="s">
        <v>35</v>
      </c>
      <c r="K36" s="6" t="s">
        <v>284</v>
      </c>
      <c r="L36" s="6">
        <v>2</v>
      </c>
    </row>
    <row r="37" spans="2:12" ht="27.75" thickBot="1" x14ac:dyDescent="0.35">
      <c r="B37" s="14" t="s">
        <v>36</v>
      </c>
      <c r="C37" s="7">
        <f>+VLOOKUP(B37,J37:$L$257,3,0)</f>
        <v>2</v>
      </c>
      <c r="D37" s="15" t="str">
        <f t="shared" si="0"/>
        <v>CS 2</v>
      </c>
      <c r="E37" s="1" t="s">
        <v>255</v>
      </c>
      <c r="F37" s="17">
        <f t="shared" si="1"/>
        <v>39849</v>
      </c>
      <c r="J37" s="5" t="s">
        <v>36</v>
      </c>
      <c r="K37" s="16">
        <v>39849</v>
      </c>
      <c r="L37" s="6">
        <v>2</v>
      </c>
    </row>
    <row r="38" spans="2:12" ht="27.75" thickBot="1" x14ac:dyDescent="0.35">
      <c r="B38" s="14" t="s">
        <v>37</v>
      </c>
      <c r="C38" s="7">
        <f>+VLOOKUP(B38,J38:$L$257,3,0)</f>
        <v>2</v>
      </c>
      <c r="D38" s="15" t="str">
        <f t="shared" si="0"/>
        <v>CS 2</v>
      </c>
      <c r="E38" s="1" t="s">
        <v>255</v>
      </c>
      <c r="F38" s="17">
        <f t="shared" si="1"/>
        <v>42554</v>
      </c>
      <c r="J38" s="5" t="s">
        <v>37</v>
      </c>
      <c r="K38" s="16">
        <v>42554</v>
      </c>
      <c r="L38" s="6">
        <v>2</v>
      </c>
    </row>
    <row r="39" spans="2:12" ht="27.75" thickBot="1" x14ac:dyDescent="0.35">
      <c r="B39" s="14" t="s">
        <v>38</v>
      </c>
      <c r="C39" s="7">
        <f>+VLOOKUP(B39,J39:$L$257,3,0)</f>
        <v>2</v>
      </c>
      <c r="D39" s="15" t="str">
        <f t="shared" si="0"/>
        <v>CS 2</v>
      </c>
      <c r="E39" s="1" t="s">
        <v>265</v>
      </c>
      <c r="F39" s="17" t="str">
        <f t="shared" si="1"/>
        <v>14/07/2015</v>
      </c>
      <c r="J39" s="5" t="s">
        <v>38</v>
      </c>
      <c r="K39" s="6" t="s">
        <v>285</v>
      </c>
      <c r="L39" s="6">
        <v>2</v>
      </c>
    </row>
    <row r="40" spans="2:12" ht="27.75" thickBot="1" x14ac:dyDescent="0.35">
      <c r="B40" s="14" t="s">
        <v>39</v>
      </c>
      <c r="C40" s="7">
        <f>+VLOOKUP(B40,J40:$L$257,3,0)</f>
        <v>2</v>
      </c>
      <c r="D40" s="15" t="str">
        <f t="shared" si="0"/>
        <v>CS 2</v>
      </c>
      <c r="E40" s="1" t="s">
        <v>265</v>
      </c>
      <c r="F40" s="17">
        <f t="shared" si="1"/>
        <v>40913</v>
      </c>
      <c r="J40" s="5" t="s">
        <v>39</v>
      </c>
      <c r="K40" s="16">
        <v>40913</v>
      </c>
      <c r="L40" s="6">
        <v>2</v>
      </c>
    </row>
    <row r="41" spans="2:12" ht="19.5" thickBot="1" x14ac:dyDescent="0.35">
      <c r="B41" s="14" t="s">
        <v>40</v>
      </c>
      <c r="C41" s="7">
        <f>+VLOOKUP(B41,J41:$L$257,3,0)</f>
        <v>2</v>
      </c>
      <c r="D41" s="15" t="str">
        <f t="shared" si="0"/>
        <v>CS 2</v>
      </c>
      <c r="E41" s="1" t="s">
        <v>255</v>
      </c>
      <c r="F41" s="17" t="str">
        <f t="shared" si="1"/>
        <v>17/01/2016</v>
      </c>
      <c r="J41" s="5" t="s">
        <v>40</v>
      </c>
      <c r="K41" s="6" t="s">
        <v>286</v>
      </c>
      <c r="L41" s="6">
        <v>2</v>
      </c>
    </row>
    <row r="42" spans="2:12" ht="27.75" thickBot="1" x14ac:dyDescent="0.35">
      <c r="B42" s="14" t="s">
        <v>41</v>
      </c>
      <c r="C42" s="7">
        <f>+VLOOKUP(B42,J42:$L$257,3,0)</f>
        <v>2</v>
      </c>
      <c r="D42" s="15" t="str">
        <f t="shared" si="0"/>
        <v>CS 2</v>
      </c>
      <c r="E42" s="1" t="s">
        <v>255</v>
      </c>
      <c r="F42" s="17" t="str">
        <f t="shared" si="1"/>
        <v>14/11/2017</v>
      </c>
      <c r="J42" s="5" t="s">
        <v>415</v>
      </c>
      <c r="K42" s="6" t="s">
        <v>287</v>
      </c>
      <c r="L42" s="6">
        <v>3</v>
      </c>
    </row>
    <row r="43" spans="2:12" ht="19.5" thickBot="1" x14ac:dyDescent="0.35">
      <c r="B43" s="14" t="s">
        <v>42</v>
      </c>
      <c r="C43" s="7">
        <f>+VLOOKUP(B43,J43:$L$257,3,0)</f>
        <v>2</v>
      </c>
      <c r="D43" s="15" t="str">
        <f t="shared" si="0"/>
        <v>CS 2</v>
      </c>
      <c r="E43" s="1" t="s">
        <v>255</v>
      </c>
      <c r="F43" s="17" t="str">
        <f t="shared" si="1"/>
        <v>15/10/2012</v>
      </c>
      <c r="J43" s="5" t="s">
        <v>416</v>
      </c>
      <c r="K43" s="6" t="s">
        <v>288</v>
      </c>
      <c r="L43" s="6">
        <v>3</v>
      </c>
    </row>
    <row r="44" spans="2:12" ht="19.5" thickBot="1" x14ac:dyDescent="0.35">
      <c r="B44" s="14" t="s">
        <v>43</v>
      </c>
      <c r="C44" s="7">
        <f>+VLOOKUP(B44,J44:$L$257,3,0)</f>
        <v>2</v>
      </c>
      <c r="D44" s="15" t="str">
        <f t="shared" si="0"/>
        <v>CS 2</v>
      </c>
      <c r="E44" s="1" t="s">
        <v>265</v>
      </c>
      <c r="F44" s="17" t="str">
        <f t="shared" si="1"/>
        <v>20/11/2015</v>
      </c>
      <c r="J44" s="5" t="s">
        <v>41</v>
      </c>
      <c r="K44" s="6" t="s">
        <v>289</v>
      </c>
      <c r="L44" s="6">
        <v>2</v>
      </c>
    </row>
    <row r="45" spans="2:12" ht="27.75" thickBot="1" x14ac:dyDescent="0.35">
      <c r="B45" s="14" t="s">
        <v>44</v>
      </c>
      <c r="C45" s="7">
        <f>+VLOOKUP(B45,J45:$L$257,3,0)</f>
        <v>2</v>
      </c>
      <c r="D45" s="15" t="str">
        <f t="shared" si="0"/>
        <v>CS 2</v>
      </c>
      <c r="E45" s="1" t="s">
        <v>255</v>
      </c>
      <c r="F45" s="17" t="str">
        <f t="shared" si="1"/>
        <v>27/05/2016</v>
      </c>
      <c r="J45" s="5" t="s">
        <v>42</v>
      </c>
      <c r="K45" s="6" t="s">
        <v>290</v>
      </c>
      <c r="L45" s="6">
        <v>2</v>
      </c>
    </row>
    <row r="46" spans="2:12" ht="19.5" thickBot="1" x14ac:dyDescent="0.35">
      <c r="B46" s="14" t="s">
        <v>45</v>
      </c>
      <c r="C46" s="7">
        <f>+VLOOKUP(B46,J46:$L$257,3,0)</f>
        <v>3</v>
      </c>
      <c r="D46" s="15" t="str">
        <f t="shared" si="0"/>
        <v>CS 3</v>
      </c>
      <c r="E46" s="1" t="s">
        <v>255</v>
      </c>
      <c r="F46" s="17" t="str">
        <f t="shared" si="1"/>
        <v>30/04/2015</v>
      </c>
      <c r="J46" s="5" t="s">
        <v>43</v>
      </c>
      <c r="K46" s="6" t="s">
        <v>291</v>
      </c>
      <c r="L46" s="6">
        <v>2</v>
      </c>
    </row>
    <row r="47" spans="2:12" ht="19.5" thickBot="1" x14ac:dyDescent="0.35">
      <c r="B47" s="14" t="s">
        <v>46</v>
      </c>
      <c r="C47" s="7">
        <f>+VLOOKUP(B47,J47:$L$257,3,0)</f>
        <v>3</v>
      </c>
      <c r="D47" s="15" t="str">
        <f t="shared" si="0"/>
        <v>CS 3</v>
      </c>
      <c r="E47" s="1" t="s">
        <v>255</v>
      </c>
      <c r="F47" s="17">
        <f t="shared" si="1"/>
        <v>42651</v>
      </c>
      <c r="J47" s="5" t="s">
        <v>44</v>
      </c>
      <c r="K47" s="6" t="s">
        <v>292</v>
      </c>
      <c r="L47" s="6">
        <v>2</v>
      </c>
    </row>
    <row r="48" spans="2:12" ht="19.5" thickBot="1" x14ac:dyDescent="0.35">
      <c r="B48" s="14" t="s">
        <v>47</v>
      </c>
      <c r="C48" s="7">
        <f>+VLOOKUP(B48,J48:$L$257,3,0)</f>
        <v>3</v>
      </c>
      <c r="D48" s="15" t="str">
        <f t="shared" si="0"/>
        <v>CS 3</v>
      </c>
      <c r="E48" s="1" t="s">
        <v>255</v>
      </c>
      <c r="F48" s="17">
        <f t="shared" si="1"/>
        <v>41923</v>
      </c>
      <c r="J48" s="5" t="s">
        <v>45</v>
      </c>
      <c r="K48" s="6" t="s">
        <v>293</v>
      </c>
      <c r="L48" s="6">
        <v>3</v>
      </c>
    </row>
    <row r="49" spans="2:12" ht="19.5" thickBot="1" x14ac:dyDescent="0.35">
      <c r="B49" s="14" t="s">
        <v>48</v>
      </c>
      <c r="C49" s="7">
        <f>+VLOOKUP(B49,J49:$L$257,3,0)</f>
        <v>4</v>
      </c>
      <c r="D49" s="15" t="str">
        <f t="shared" si="0"/>
        <v>CS 4</v>
      </c>
      <c r="E49" s="1" t="s">
        <v>265</v>
      </c>
      <c r="F49" s="17">
        <f t="shared" si="1"/>
        <v>40940</v>
      </c>
      <c r="J49" s="5" t="s">
        <v>46</v>
      </c>
      <c r="K49" s="16">
        <v>42651</v>
      </c>
      <c r="L49" s="6">
        <v>3</v>
      </c>
    </row>
    <row r="50" spans="2:12" ht="27.75" thickBot="1" x14ac:dyDescent="0.35">
      <c r="B50" s="14" t="s">
        <v>49</v>
      </c>
      <c r="C50" s="7">
        <f>+VLOOKUP(B50,J50:$L$257,3,0)</f>
        <v>3</v>
      </c>
      <c r="D50" s="15" t="str">
        <f t="shared" si="0"/>
        <v>CS 3</v>
      </c>
      <c r="E50" s="1" t="s">
        <v>255</v>
      </c>
      <c r="F50" s="17">
        <f t="shared" si="1"/>
        <v>42494</v>
      </c>
      <c r="J50" s="5" t="s">
        <v>47</v>
      </c>
      <c r="K50" s="16">
        <v>41923</v>
      </c>
      <c r="L50" s="6">
        <v>3</v>
      </c>
    </row>
    <row r="51" spans="2:12" ht="27.75" thickBot="1" x14ac:dyDescent="0.35">
      <c r="B51" s="14" t="s">
        <v>50</v>
      </c>
      <c r="C51" s="7">
        <f>+VLOOKUP(B51,J51:$L$257,3,0)</f>
        <v>1</v>
      </c>
      <c r="D51" s="15" t="str">
        <f t="shared" si="0"/>
        <v>CS 1</v>
      </c>
      <c r="E51" s="1" t="s">
        <v>255</v>
      </c>
      <c r="F51" s="17">
        <f t="shared" si="1"/>
        <v>40330</v>
      </c>
      <c r="J51" s="5" t="s">
        <v>48</v>
      </c>
      <c r="K51" s="16">
        <v>40940</v>
      </c>
      <c r="L51" s="6">
        <v>4</v>
      </c>
    </row>
    <row r="52" spans="2:12" ht="19.5" thickBot="1" x14ac:dyDescent="0.35">
      <c r="B52" s="14" t="s">
        <v>51</v>
      </c>
      <c r="C52" s="7">
        <f>+VLOOKUP(B52,J52:$L$257,3,0)</f>
        <v>3</v>
      </c>
      <c r="D52" s="15" t="str">
        <f t="shared" si="0"/>
        <v>CS 3</v>
      </c>
      <c r="E52" s="1" t="s">
        <v>255</v>
      </c>
      <c r="F52" s="17" t="str">
        <f t="shared" si="1"/>
        <v>27/10/2017</v>
      </c>
      <c r="J52" s="5" t="s">
        <v>49</v>
      </c>
      <c r="K52" s="16">
        <v>42494</v>
      </c>
      <c r="L52" s="6">
        <v>3</v>
      </c>
    </row>
    <row r="53" spans="2:12" ht="19.5" thickBot="1" x14ac:dyDescent="0.35">
      <c r="B53" s="14" t="s">
        <v>52</v>
      </c>
      <c r="C53" s="7">
        <f>+VLOOKUP(B53,J53:$L$257,3,0)</f>
        <v>5</v>
      </c>
      <c r="D53" s="15" t="str">
        <f t="shared" si="0"/>
        <v>CS 5</v>
      </c>
      <c r="E53" s="1" t="s">
        <v>265</v>
      </c>
      <c r="F53" s="17" t="str">
        <f t="shared" si="1"/>
        <v>13/09/2013</v>
      </c>
      <c r="J53" s="5" t="s">
        <v>50</v>
      </c>
      <c r="K53" s="16">
        <v>40330</v>
      </c>
      <c r="L53" s="6">
        <v>1</v>
      </c>
    </row>
    <row r="54" spans="2:12" ht="27.75" thickBot="1" x14ac:dyDescent="0.35">
      <c r="B54" s="14" t="s">
        <v>53</v>
      </c>
      <c r="C54" s="7">
        <f>+VLOOKUP(B54,J54:$L$257,3,0)</f>
        <v>2</v>
      </c>
      <c r="D54" s="15" t="str">
        <f t="shared" si="0"/>
        <v>CS 2</v>
      </c>
      <c r="E54" s="1" t="s">
        <v>255</v>
      </c>
      <c r="F54" s="17" t="str">
        <f t="shared" si="1"/>
        <v>30/12/2007</v>
      </c>
      <c r="J54" s="5" t="s">
        <v>51</v>
      </c>
      <c r="K54" s="6" t="s">
        <v>294</v>
      </c>
      <c r="L54" s="6">
        <v>3</v>
      </c>
    </row>
    <row r="55" spans="2:12" ht="27.75" thickBot="1" x14ac:dyDescent="0.35">
      <c r="B55" s="14" t="s">
        <v>54</v>
      </c>
      <c r="C55" s="7">
        <f>+VLOOKUP(B55,J55:$L$257,3,0)</f>
        <v>3</v>
      </c>
      <c r="D55" s="15" t="str">
        <f t="shared" si="0"/>
        <v>CS 3</v>
      </c>
      <c r="E55" s="1" t="s">
        <v>265</v>
      </c>
      <c r="F55" s="17">
        <f t="shared" si="1"/>
        <v>42593</v>
      </c>
      <c r="J55" s="5" t="s">
        <v>52</v>
      </c>
      <c r="K55" s="6" t="s">
        <v>295</v>
      </c>
      <c r="L55" s="6">
        <v>5</v>
      </c>
    </row>
    <row r="56" spans="2:12" ht="27.75" thickBot="1" x14ac:dyDescent="0.35">
      <c r="B56" s="14" t="s">
        <v>55</v>
      </c>
      <c r="C56" s="7">
        <f>+VLOOKUP(B56,J56:$L$257,3,0)</f>
        <v>3</v>
      </c>
      <c r="D56" s="15" t="str">
        <f t="shared" si="0"/>
        <v>CS 3</v>
      </c>
      <c r="E56" s="1" t="s">
        <v>255</v>
      </c>
      <c r="F56" s="17" t="str">
        <f t="shared" si="1"/>
        <v>13/12/2017</v>
      </c>
      <c r="J56" s="5" t="s">
        <v>53</v>
      </c>
      <c r="K56" s="6" t="s">
        <v>296</v>
      </c>
      <c r="L56" s="6">
        <v>2</v>
      </c>
    </row>
    <row r="57" spans="2:12" ht="27.75" thickBot="1" x14ac:dyDescent="0.35">
      <c r="B57" s="14" t="s">
        <v>56</v>
      </c>
      <c r="C57" s="7">
        <f>+VLOOKUP(B57,J57:$L$257,3,0)</f>
        <v>1</v>
      </c>
      <c r="D57" s="15" t="str">
        <f t="shared" si="0"/>
        <v>CS 1</v>
      </c>
      <c r="E57" s="1" t="s">
        <v>265</v>
      </c>
      <c r="F57" s="17" t="str">
        <f t="shared" si="1"/>
        <v>30/07/2010</v>
      </c>
      <c r="J57" s="5" t="s">
        <v>54</v>
      </c>
      <c r="K57" s="16">
        <v>42593</v>
      </c>
      <c r="L57" s="6">
        <v>3</v>
      </c>
    </row>
    <row r="58" spans="2:12" ht="27.75" thickBot="1" x14ac:dyDescent="0.35">
      <c r="B58" s="14" t="s">
        <v>57</v>
      </c>
      <c r="C58" s="7">
        <f>+VLOOKUP(B58,J58:$L$257,3,0)</f>
        <v>1</v>
      </c>
      <c r="D58" s="15" t="str">
        <f t="shared" si="0"/>
        <v>CS 1</v>
      </c>
      <c r="E58" s="1" t="s">
        <v>255</v>
      </c>
      <c r="F58" s="17" t="str">
        <f t="shared" si="1"/>
        <v>27/11/2015</v>
      </c>
      <c r="J58" s="5" t="s">
        <v>55</v>
      </c>
      <c r="K58" s="6" t="s">
        <v>297</v>
      </c>
      <c r="L58" s="6">
        <v>3</v>
      </c>
    </row>
    <row r="59" spans="2:12" ht="27.75" thickBot="1" x14ac:dyDescent="0.35">
      <c r="B59" s="14" t="s">
        <v>58</v>
      </c>
      <c r="C59" s="7">
        <f>+VLOOKUP(B59,J59:$L$257,3,0)</f>
        <v>1</v>
      </c>
      <c r="D59" s="15" t="str">
        <f t="shared" si="0"/>
        <v>CS 1</v>
      </c>
      <c r="E59" s="1" t="s">
        <v>255</v>
      </c>
      <c r="F59" s="17" t="str">
        <f t="shared" si="1"/>
        <v>27/11/2015</v>
      </c>
      <c r="J59" s="5" t="s">
        <v>56</v>
      </c>
      <c r="K59" s="6" t="s">
        <v>298</v>
      </c>
      <c r="L59" s="6">
        <v>1</v>
      </c>
    </row>
    <row r="60" spans="2:12" ht="19.5" thickBot="1" x14ac:dyDescent="0.35">
      <c r="B60" s="14" t="s">
        <v>59</v>
      </c>
      <c r="C60" s="7">
        <f>+VLOOKUP(B60,J60:$L$257,3,0)</f>
        <v>1</v>
      </c>
      <c r="D60" s="15" t="str">
        <f t="shared" si="0"/>
        <v>CS 1</v>
      </c>
      <c r="E60" s="1" t="s">
        <v>265</v>
      </c>
      <c r="F60" s="17" t="str">
        <f t="shared" si="1"/>
        <v>13/09/2012</v>
      </c>
      <c r="J60" s="5" t="s">
        <v>57</v>
      </c>
      <c r="K60" s="6" t="s">
        <v>299</v>
      </c>
      <c r="L60" s="6">
        <v>1</v>
      </c>
    </row>
    <row r="61" spans="2:12" ht="19.5" thickBot="1" x14ac:dyDescent="0.35">
      <c r="B61" s="14" t="s">
        <v>60</v>
      </c>
      <c r="C61" s="7">
        <f>+VLOOKUP(B61,J61:$L$257,3,0)</f>
        <v>4</v>
      </c>
      <c r="D61" s="15" t="str">
        <f t="shared" si="0"/>
        <v>CS 4</v>
      </c>
      <c r="E61" s="1" t="s">
        <v>255</v>
      </c>
      <c r="F61" s="17">
        <f t="shared" si="1"/>
        <v>41062</v>
      </c>
      <c r="J61" s="5" t="s">
        <v>58</v>
      </c>
      <c r="K61" s="6" t="s">
        <v>299</v>
      </c>
      <c r="L61" s="6">
        <v>1</v>
      </c>
    </row>
    <row r="62" spans="2:12" ht="27.75" thickBot="1" x14ac:dyDescent="0.35">
      <c r="B62" s="14" t="s">
        <v>61</v>
      </c>
      <c r="C62" s="7">
        <f>+VLOOKUP(B62,J62:$L$257,3,0)</f>
        <v>2</v>
      </c>
      <c r="D62" s="15" t="str">
        <f t="shared" si="0"/>
        <v>CS 2</v>
      </c>
      <c r="E62" s="1" t="s">
        <v>255</v>
      </c>
      <c r="F62" s="17" t="str">
        <f t="shared" si="1"/>
        <v>28/03/2016</v>
      </c>
      <c r="J62" s="5" t="s">
        <v>59</v>
      </c>
      <c r="K62" s="6" t="s">
        <v>300</v>
      </c>
      <c r="L62" s="6">
        <v>1</v>
      </c>
    </row>
    <row r="63" spans="2:12" ht="27.75" thickBot="1" x14ac:dyDescent="0.35">
      <c r="B63" s="14" t="s">
        <v>62</v>
      </c>
      <c r="C63" s="7">
        <f>+VLOOKUP(B63,J63:$L$257,3,0)</f>
        <v>2</v>
      </c>
      <c r="D63" s="15" t="str">
        <f t="shared" si="0"/>
        <v>CS 2</v>
      </c>
      <c r="E63" s="1" t="s">
        <v>265</v>
      </c>
      <c r="F63" s="17" t="str">
        <f t="shared" si="1"/>
        <v>31/01/2012</v>
      </c>
      <c r="J63" s="5" t="s">
        <v>60</v>
      </c>
      <c r="K63" s="16">
        <v>41062</v>
      </c>
      <c r="L63" s="6">
        <v>4</v>
      </c>
    </row>
    <row r="64" spans="2:12" ht="19.5" thickBot="1" x14ac:dyDescent="0.35">
      <c r="B64" s="14" t="s">
        <v>63</v>
      </c>
      <c r="C64" s="7">
        <f>+VLOOKUP(B64,J64:$L$257,3,0)</f>
        <v>1</v>
      </c>
      <c r="D64" s="15" t="str">
        <f t="shared" si="0"/>
        <v>CS 1</v>
      </c>
      <c r="E64" s="1" t="s">
        <v>255</v>
      </c>
      <c r="F64" s="17">
        <f t="shared" si="1"/>
        <v>41133</v>
      </c>
      <c r="J64" s="5" t="s">
        <v>61</v>
      </c>
      <c r="K64" s="6" t="s">
        <v>301</v>
      </c>
      <c r="L64" s="6">
        <v>2</v>
      </c>
    </row>
    <row r="65" spans="2:12" ht="27.75" thickBot="1" x14ac:dyDescent="0.35">
      <c r="B65" s="14" t="s">
        <v>64</v>
      </c>
      <c r="C65" s="7">
        <f>+VLOOKUP(B65,J65:$L$257,3,0)</f>
        <v>2</v>
      </c>
      <c r="D65" s="15" t="str">
        <f t="shared" si="0"/>
        <v>CS 2</v>
      </c>
      <c r="E65" s="1" t="s">
        <v>255</v>
      </c>
      <c r="F65" s="17">
        <f t="shared" si="1"/>
        <v>42955</v>
      </c>
      <c r="J65" s="5" t="s">
        <v>62</v>
      </c>
      <c r="K65" s="6" t="s">
        <v>302</v>
      </c>
      <c r="L65" s="6">
        <v>2</v>
      </c>
    </row>
    <row r="66" spans="2:12" ht="27.75" thickBot="1" x14ac:dyDescent="0.35">
      <c r="B66" s="14" t="s">
        <v>65</v>
      </c>
      <c r="C66" s="7">
        <f>+VLOOKUP(B66,J66:$L$257,3,0)</f>
        <v>5</v>
      </c>
      <c r="D66" s="15" t="str">
        <f t="shared" si="0"/>
        <v>CS 5</v>
      </c>
      <c r="E66" s="1" t="s">
        <v>255</v>
      </c>
      <c r="F66" s="17" t="str">
        <f t="shared" si="1"/>
        <v>15/11/2016</v>
      </c>
      <c r="J66" s="5" t="s">
        <v>63</v>
      </c>
      <c r="K66" s="16">
        <v>41133</v>
      </c>
      <c r="L66" s="6">
        <v>1</v>
      </c>
    </row>
    <row r="67" spans="2:12" ht="19.5" thickBot="1" x14ac:dyDescent="0.35">
      <c r="B67" s="14" t="s">
        <v>66</v>
      </c>
      <c r="C67" s="7">
        <f>+VLOOKUP(B67,J67:$L$257,3,0)</f>
        <v>1</v>
      </c>
      <c r="D67" s="15" t="str">
        <f t="shared" ref="D67:D130" si="2">+VLOOKUP(C67,$N$8:$O$14,2,0)</f>
        <v>CS 1</v>
      </c>
      <c r="E67" s="1" t="s">
        <v>255</v>
      </c>
      <c r="F67" s="17">
        <f t="shared" ref="F67:F130" si="3">+VLOOKUP(B67,$J$1:$K$259,2,0)</f>
        <v>41618</v>
      </c>
      <c r="J67" s="5" t="s">
        <v>64</v>
      </c>
      <c r="K67" s="16">
        <v>42955</v>
      </c>
      <c r="L67" s="6">
        <v>2</v>
      </c>
    </row>
    <row r="68" spans="2:12" ht="27.75" thickBot="1" x14ac:dyDescent="0.35">
      <c r="B68" s="14" t="s">
        <v>67</v>
      </c>
      <c r="C68" s="7">
        <f>+VLOOKUP(B68,J68:$L$257,3,0)</f>
        <v>3</v>
      </c>
      <c r="D68" s="15" t="str">
        <f t="shared" si="2"/>
        <v>CS 3</v>
      </c>
      <c r="E68" s="1" t="s">
        <v>255</v>
      </c>
      <c r="F68" s="17">
        <f t="shared" si="3"/>
        <v>41802</v>
      </c>
      <c r="J68" s="5" t="s">
        <v>65</v>
      </c>
      <c r="K68" s="6" t="s">
        <v>303</v>
      </c>
      <c r="L68" s="6">
        <v>5</v>
      </c>
    </row>
    <row r="69" spans="2:12" ht="19.5" thickBot="1" x14ac:dyDescent="0.35">
      <c r="B69" s="14" t="s">
        <v>68</v>
      </c>
      <c r="C69" s="7">
        <f>+VLOOKUP(B69,J69:$L$257,3,0)</f>
        <v>2</v>
      </c>
      <c r="D69" s="15" t="str">
        <f t="shared" si="2"/>
        <v>CS 2</v>
      </c>
      <c r="E69" s="1" t="s">
        <v>255</v>
      </c>
      <c r="F69" s="17" t="str">
        <f t="shared" si="3"/>
        <v>14/12/2012</v>
      </c>
      <c r="J69" s="5" t="s">
        <v>66</v>
      </c>
      <c r="K69" s="16">
        <v>41618</v>
      </c>
      <c r="L69" s="6">
        <v>1</v>
      </c>
    </row>
    <row r="70" spans="2:12" ht="27.75" thickBot="1" x14ac:dyDescent="0.35">
      <c r="B70" s="14" t="s">
        <v>69</v>
      </c>
      <c r="C70" s="7">
        <f>+VLOOKUP(B70,J70:$L$257,3,0)</f>
        <v>1</v>
      </c>
      <c r="D70" s="15" t="str">
        <f t="shared" si="2"/>
        <v>CS 1</v>
      </c>
      <c r="E70" s="1" t="s">
        <v>255</v>
      </c>
      <c r="F70" s="17">
        <f t="shared" si="3"/>
        <v>41888</v>
      </c>
      <c r="J70" s="5" t="s">
        <v>67</v>
      </c>
      <c r="K70" s="16">
        <v>41802</v>
      </c>
      <c r="L70" s="6">
        <v>3</v>
      </c>
    </row>
    <row r="71" spans="2:12" ht="19.5" thickBot="1" x14ac:dyDescent="0.35">
      <c r="B71" s="14" t="s">
        <v>70</v>
      </c>
      <c r="C71" s="7">
        <f>+VLOOKUP(B71,J71:$L$257,3,0)</f>
        <v>4</v>
      </c>
      <c r="D71" s="15" t="str">
        <f t="shared" si="2"/>
        <v>CS 4</v>
      </c>
      <c r="E71" s="1" t="s">
        <v>255</v>
      </c>
      <c r="F71" s="17">
        <f t="shared" si="3"/>
        <v>41102</v>
      </c>
      <c r="J71" s="5" t="s">
        <v>68</v>
      </c>
      <c r="K71" s="6" t="s">
        <v>304</v>
      </c>
      <c r="L71" s="6">
        <v>2</v>
      </c>
    </row>
    <row r="72" spans="2:12" ht="27.75" thickBot="1" x14ac:dyDescent="0.35">
      <c r="B72" s="14" t="s">
        <v>71</v>
      </c>
      <c r="C72" s="7">
        <f>+VLOOKUP(B72,J72:$L$257,3,0)</f>
        <v>2</v>
      </c>
      <c r="D72" s="15" t="str">
        <f t="shared" si="2"/>
        <v>CS 2</v>
      </c>
      <c r="E72" s="1" t="s">
        <v>255</v>
      </c>
      <c r="F72" s="17" t="str">
        <f t="shared" si="3"/>
        <v>14/04/2012</v>
      </c>
      <c r="J72" s="5" t="s">
        <v>69</v>
      </c>
      <c r="K72" s="16">
        <v>41888</v>
      </c>
      <c r="L72" s="6">
        <v>1</v>
      </c>
    </row>
    <row r="73" spans="2:12" ht="27.75" thickBot="1" x14ac:dyDescent="0.35">
      <c r="B73" s="14" t="s">
        <v>72</v>
      </c>
      <c r="C73" s="7">
        <f>+VLOOKUP(B73,J73:$L$257,3,0)</f>
        <v>3</v>
      </c>
      <c r="D73" s="15" t="str">
        <f t="shared" si="2"/>
        <v>CS 3</v>
      </c>
      <c r="E73" s="1" t="s">
        <v>255</v>
      </c>
      <c r="F73" s="17" t="str">
        <f t="shared" si="3"/>
        <v>24/04/2015</v>
      </c>
      <c r="J73" s="5" t="s">
        <v>70</v>
      </c>
      <c r="K73" s="16">
        <v>41102</v>
      </c>
      <c r="L73" s="6">
        <v>4</v>
      </c>
    </row>
    <row r="74" spans="2:12" ht="19.5" thickBot="1" x14ac:dyDescent="0.35">
      <c r="B74" s="14" t="s">
        <v>73</v>
      </c>
      <c r="C74" s="7">
        <f>+VLOOKUP(B74,J74:$L$257,3,0)</f>
        <v>3</v>
      </c>
      <c r="D74" s="15" t="str">
        <f t="shared" si="2"/>
        <v>CS 3</v>
      </c>
      <c r="E74" s="1" t="s">
        <v>255</v>
      </c>
      <c r="F74" s="17">
        <f t="shared" si="3"/>
        <v>43166</v>
      </c>
      <c r="J74" s="5" t="s">
        <v>71</v>
      </c>
      <c r="K74" s="6" t="s">
        <v>305</v>
      </c>
      <c r="L74" s="6">
        <v>2</v>
      </c>
    </row>
    <row r="75" spans="2:12" ht="27.75" thickBot="1" x14ac:dyDescent="0.35">
      <c r="B75" s="14" t="s">
        <v>74</v>
      </c>
      <c r="C75" s="7">
        <f>+VLOOKUP(B75,J75:$L$257,3,0)</f>
        <v>1</v>
      </c>
      <c r="D75" s="15" t="str">
        <f t="shared" si="2"/>
        <v>CS 1</v>
      </c>
      <c r="E75" s="1" t="s">
        <v>255</v>
      </c>
      <c r="F75" s="17">
        <f t="shared" si="3"/>
        <v>41857</v>
      </c>
      <c r="J75" s="5" t="s">
        <v>72</v>
      </c>
      <c r="K75" s="6" t="s">
        <v>306</v>
      </c>
      <c r="L75" s="6">
        <v>3</v>
      </c>
    </row>
    <row r="76" spans="2:12" ht="19.5" thickBot="1" x14ac:dyDescent="0.35">
      <c r="B76" s="14" t="s">
        <v>75</v>
      </c>
      <c r="C76" s="7">
        <f>+VLOOKUP(B76,J76:$L$257,3,0)</f>
        <v>3</v>
      </c>
      <c r="D76" s="15" t="str">
        <f t="shared" si="2"/>
        <v>CS 3</v>
      </c>
      <c r="E76" s="1" t="s">
        <v>255</v>
      </c>
      <c r="F76" s="17" t="str">
        <f t="shared" si="3"/>
        <v>18/11/2011</v>
      </c>
      <c r="J76" s="5" t="s">
        <v>73</v>
      </c>
      <c r="K76" s="16">
        <v>43166</v>
      </c>
      <c r="L76" s="6">
        <v>3</v>
      </c>
    </row>
    <row r="77" spans="2:12" ht="19.5" thickBot="1" x14ac:dyDescent="0.35">
      <c r="B77" s="14" t="s">
        <v>76</v>
      </c>
      <c r="C77" s="7">
        <f>+VLOOKUP(B77,J77:$L$257,3,0)</f>
        <v>2</v>
      </c>
      <c r="D77" s="15" t="str">
        <f t="shared" si="2"/>
        <v>CS 2</v>
      </c>
      <c r="E77" s="1" t="s">
        <v>265</v>
      </c>
      <c r="F77" s="17">
        <f t="shared" si="3"/>
        <v>40788</v>
      </c>
      <c r="J77" s="5" t="s">
        <v>74</v>
      </c>
      <c r="K77" s="16">
        <v>41857</v>
      </c>
      <c r="L77" s="6">
        <v>1</v>
      </c>
    </row>
    <row r="78" spans="2:12" ht="19.5" thickBot="1" x14ac:dyDescent="0.35">
      <c r="B78" s="14" t="s">
        <v>77</v>
      </c>
      <c r="C78" s="7">
        <f>+VLOOKUP(B78,J78:$L$257,3,0)</f>
        <v>1</v>
      </c>
      <c r="D78" s="15" t="str">
        <f t="shared" si="2"/>
        <v>CS 1</v>
      </c>
      <c r="E78" s="1" t="s">
        <v>265</v>
      </c>
      <c r="F78" s="17" t="str">
        <f t="shared" si="3"/>
        <v>23/08/2016</v>
      </c>
      <c r="J78" s="5" t="s">
        <v>75</v>
      </c>
      <c r="K78" s="6" t="s">
        <v>307</v>
      </c>
      <c r="L78" s="6">
        <v>3</v>
      </c>
    </row>
    <row r="79" spans="2:12" ht="27.75" thickBot="1" x14ac:dyDescent="0.35">
      <c r="B79" s="14" t="s">
        <v>78</v>
      </c>
      <c r="C79" s="7">
        <f>+VLOOKUP(B79,J79:$L$257,3,0)</f>
        <v>1</v>
      </c>
      <c r="D79" s="15" t="str">
        <f t="shared" si="2"/>
        <v>CS 1</v>
      </c>
      <c r="E79" s="1" t="s">
        <v>255</v>
      </c>
      <c r="F79" s="17" t="str">
        <f t="shared" si="3"/>
        <v>23/03/2018</v>
      </c>
      <c r="J79" s="5" t="s">
        <v>76</v>
      </c>
      <c r="K79" s="16">
        <v>40788</v>
      </c>
      <c r="L79" s="6">
        <v>2</v>
      </c>
    </row>
    <row r="80" spans="2:12" ht="27.75" thickBot="1" x14ac:dyDescent="0.35">
      <c r="B80" s="14" t="s">
        <v>79</v>
      </c>
      <c r="C80" s="7">
        <f>+VLOOKUP(B80,J80:$L$257,3,0)</f>
        <v>1</v>
      </c>
      <c r="D80" s="15" t="str">
        <f t="shared" si="2"/>
        <v>CS 1</v>
      </c>
      <c r="E80" s="1" t="s">
        <v>255</v>
      </c>
      <c r="F80" s="17" t="str">
        <f t="shared" si="3"/>
        <v>20/06/2016</v>
      </c>
      <c r="J80" s="5" t="s">
        <v>77</v>
      </c>
      <c r="K80" s="6" t="s">
        <v>308</v>
      </c>
      <c r="L80" s="6">
        <v>1</v>
      </c>
    </row>
    <row r="81" spans="2:12" ht="27.75" thickBot="1" x14ac:dyDescent="0.35">
      <c r="B81" s="14" t="s">
        <v>80</v>
      </c>
      <c r="C81" s="7">
        <f>+VLOOKUP(B81,J81:$L$257,3,0)</f>
        <v>1</v>
      </c>
      <c r="D81" s="15" t="str">
        <f t="shared" si="2"/>
        <v>CS 1</v>
      </c>
      <c r="E81" s="1" t="s">
        <v>255</v>
      </c>
      <c r="F81" s="17">
        <f t="shared" si="3"/>
        <v>42409</v>
      </c>
      <c r="J81" s="5" t="s">
        <v>78</v>
      </c>
      <c r="K81" s="6" t="s">
        <v>309</v>
      </c>
      <c r="L81" s="6">
        <v>1</v>
      </c>
    </row>
    <row r="82" spans="2:12" ht="19.5" thickBot="1" x14ac:dyDescent="0.35">
      <c r="B82" s="14" t="s">
        <v>81</v>
      </c>
      <c r="C82" s="7">
        <f>+VLOOKUP(B82,J82:$L$257,3,0)</f>
        <v>3</v>
      </c>
      <c r="D82" s="15" t="str">
        <f t="shared" si="2"/>
        <v>CS 3</v>
      </c>
      <c r="E82" s="1" t="s">
        <v>255</v>
      </c>
      <c r="F82" s="17" t="str">
        <f t="shared" si="3"/>
        <v>28/02/2012</v>
      </c>
      <c r="J82" s="5" t="s">
        <v>79</v>
      </c>
      <c r="K82" s="6" t="s">
        <v>310</v>
      </c>
      <c r="L82" s="6">
        <v>1</v>
      </c>
    </row>
    <row r="83" spans="2:12" ht="27.75" thickBot="1" x14ac:dyDescent="0.35">
      <c r="B83" s="14" t="s">
        <v>82</v>
      </c>
      <c r="C83" s="7">
        <f>+VLOOKUP(B83,J83:$L$257,3,0)</f>
        <v>3</v>
      </c>
      <c r="D83" s="15" t="str">
        <f t="shared" si="2"/>
        <v>CS 3</v>
      </c>
      <c r="E83" s="1" t="s">
        <v>255</v>
      </c>
      <c r="F83" s="17" t="str">
        <f t="shared" si="3"/>
        <v>26/12/2012</v>
      </c>
      <c r="J83" s="5" t="s">
        <v>80</v>
      </c>
      <c r="K83" s="16">
        <v>42409</v>
      </c>
      <c r="L83" s="6">
        <v>1</v>
      </c>
    </row>
    <row r="84" spans="2:12" ht="27.75" thickBot="1" x14ac:dyDescent="0.35">
      <c r="B84" s="14" t="s">
        <v>83</v>
      </c>
      <c r="C84" s="7">
        <f>+VLOOKUP(B84,J84:$L$257,3,0)</f>
        <v>4</v>
      </c>
      <c r="D84" s="15" t="str">
        <f t="shared" si="2"/>
        <v>CS 4</v>
      </c>
      <c r="E84" s="1" t="s">
        <v>255</v>
      </c>
      <c r="F84" s="17" t="str">
        <f t="shared" si="3"/>
        <v>13/09/2016</v>
      </c>
      <c r="J84" s="5" t="s">
        <v>81</v>
      </c>
      <c r="K84" s="6" t="s">
        <v>311</v>
      </c>
      <c r="L84" s="6">
        <v>3</v>
      </c>
    </row>
    <row r="85" spans="2:12" ht="27.75" thickBot="1" x14ac:dyDescent="0.35">
      <c r="B85" s="14" t="s">
        <v>84</v>
      </c>
      <c r="C85" s="7">
        <f>+VLOOKUP(B85,J85:$L$257,3,0)</f>
        <v>5</v>
      </c>
      <c r="D85" s="15" t="str">
        <f t="shared" si="2"/>
        <v>CS 5</v>
      </c>
      <c r="E85" s="1" t="s">
        <v>255</v>
      </c>
      <c r="F85" s="17" t="str">
        <f t="shared" si="3"/>
        <v>15/11/2017</v>
      </c>
      <c r="J85" s="5" t="s">
        <v>82</v>
      </c>
      <c r="K85" s="6" t="s">
        <v>312</v>
      </c>
      <c r="L85" s="6">
        <v>3</v>
      </c>
    </row>
    <row r="86" spans="2:12" ht="19.5" thickBot="1" x14ac:dyDescent="0.35">
      <c r="B86" s="14" t="s">
        <v>85</v>
      </c>
      <c r="C86" s="7">
        <f>+VLOOKUP(B86,J86:$L$257,3,0)</f>
        <v>2</v>
      </c>
      <c r="D86" s="15" t="str">
        <f t="shared" si="2"/>
        <v>CS 2</v>
      </c>
      <c r="E86" s="1" t="s">
        <v>255</v>
      </c>
      <c r="F86" s="17">
        <f t="shared" si="3"/>
        <v>43045</v>
      </c>
      <c r="J86" s="5" t="s">
        <v>83</v>
      </c>
      <c r="K86" s="6" t="s">
        <v>313</v>
      </c>
      <c r="L86" s="6">
        <v>4</v>
      </c>
    </row>
    <row r="87" spans="2:12" ht="27.75" thickBot="1" x14ac:dyDescent="0.35">
      <c r="B87" s="14" t="s">
        <v>86</v>
      </c>
      <c r="C87" s="7">
        <f>+VLOOKUP(B87,J87:$L$257,3,0)</f>
        <v>2</v>
      </c>
      <c r="D87" s="15" t="str">
        <f t="shared" si="2"/>
        <v>CS 2</v>
      </c>
      <c r="E87" s="1" t="s">
        <v>265</v>
      </c>
      <c r="F87" s="17" t="str">
        <f t="shared" si="3"/>
        <v>16/09/2009</v>
      </c>
      <c r="J87" s="5" t="s">
        <v>84</v>
      </c>
      <c r="K87" s="6" t="s">
        <v>314</v>
      </c>
      <c r="L87" s="6">
        <v>5</v>
      </c>
    </row>
    <row r="88" spans="2:12" ht="19.5" thickBot="1" x14ac:dyDescent="0.35">
      <c r="B88" s="14" t="s">
        <v>87</v>
      </c>
      <c r="C88" s="7">
        <f>+VLOOKUP(B88,J88:$L$257,3,0)</f>
        <v>3</v>
      </c>
      <c r="D88" s="15" t="str">
        <f t="shared" si="2"/>
        <v>CS 3</v>
      </c>
      <c r="E88" s="1" t="s">
        <v>255</v>
      </c>
      <c r="F88" s="17" t="str">
        <f t="shared" si="3"/>
        <v>28/09/2016</v>
      </c>
      <c r="J88" s="5" t="s">
        <v>85</v>
      </c>
      <c r="K88" s="16">
        <v>43045</v>
      </c>
      <c r="L88" s="6">
        <v>2</v>
      </c>
    </row>
    <row r="89" spans="2:12" ht="27.75" thickBot="1" x14ac:dyDescent="0.35">
      <c r="B89" s="14" t="s">
        <v>88</v>
      </c>
      <c r="C89" s="7">
        <f>+VLOOKUP(B89,J89:$L$257,3,0)</f>
        <v>4</v>
      </c>
      <c r="D89" s="15" t="str">
        <f t="shared" si="2"/>
        <v>CS 4</v>
      </c>
      <c r="E89" s="1" t="s">
        <v>255</v>
      </c>
      <c r="F89" s="17">
        <f t="shared" si="3"/>
        <v>41585</v>
      </c>
      <c r="J89" s="5" t="s">
        <v>86</v>
      </c>
      <c r="K89" s="6" t="s">
        <v>315</v>
      </c>
      <c r="L89" s="6">
        <v>2</v>
      </c>
    </row>
    <row r="90" spans="2:12" ht="27.75" thickBot="1" x14ac:dyDescent="0.35">
      <c r="B90" s="14" t="s">
        <v>89</v>
      </c>
      <c r="C90" s="7">
        <f>+VLOOKUP(B90,J90:$L$257,3,0)</f>
        <v>4</v>
      </c>
      <c r="D90" s="15" t="str">
        <f t="shared" si="2"/>
        <v>CS 4</v>
      </c>
      <c r="E90" s="1" t="s">
        <v>255</v>
      </c>
      <c r="F90" s="17" t="str">
        <f t="shared" si="3"/>
        <v>28/01/2016</v>
      </c>
      <c r="J90" s="5" t="s">
        <v>87</v>
      </c>
      <c r="K90" s="6" t="s">
        <v>316</v>
      </c>
      <c r="L90" s="6">
        <v>3</v>
      </c>
    </row>
    <row r="91" spans="2:12" ht="19.5" thickBot="1" x14ac:dyDescent="0.35">
      <c r="B91" s="14" t="s">
        <v>90</v>
      </c>
      <c r="C91" s="7">
        <f>+VLOOKUP(B91,J91:$L$257,3,0)</f>
        <v>1</v>
      </c>
      <c r="D91" s="15" t="str">
        <f t="shared" si="2"/>
        <v>CS 1</v>
      </c>
      <c r="E91" s="1" t="s">
        <v>255</v>
      </c>
      <c r="F91" s="17" t="str">
        <f t="shared" si="3"/>
        <v>26/11/2018</v>
      </c>
      <c r="J91" s="5" t="s">
        <v>88</v>
      </c>
      <c r="K91" s="16">
        <v>41585</v>
      </c>
      <c r="L91" s="6">
        <v>4</v>
      </c>
    </row>
    <row r="92" spans="2:12" ht="27.75" thickBot="1" x14ac:dyDescent="0.35">
      <c r="B92" s="14" t="s">
        <v>91</v>
      </c>
      <c r="C92" s="7">
        <f>+VLOOKUP(B92,J92:$L$257,3,0)</f>
        <v>4</v>
      </c>
      <c r="D92" s="15" t="str">
        <f t="shared" si="2"/>
        <v>CS 4</v>
      </c>
      <c r="E92" s="1" t="s">
        <v>265</v>
      </c>
      <c r="F92" s="17">
        <f t="shared" si="3"/>
        <v>42772</v>
      </c>
      <c r="J92" s="5" t="s">
        <v>89</v>
      </c>
      <c r="K92" s="6" t="s">
        <v>317</v>
      </c>
      <c r="L92" s="6">
        <v>4</v>
      </c>
    </row>
    <row r="93" spans="2:12" ht="19.5" thickBot="1" x14ac:dyDescent="0.35">
      <c r="B93" s="14" t="s">
        <v>92</v>
      </c>
      <c r="C93" s="7">
        <f>+VLOOKUP(B93,J93:$L$257,3,0)</f>
        <v>4</v>
      </c>
      <c r="D93" s="15" t="str">
        <f t="shared" si="2"/>
        <v>CS 4</v>
      </c>
      <c r="E93" s="1" t="s">
        <v>265</v>
      </c>
      <c r="F93" s="17">
        <f t="shared" si="3"/>
        <v>39574</v>
      </c>
      <c r="J93" s="5" t="s">
        <v>90</v>
      </c>
      <c r="K93" s="6" t="s">
        <v>318</v>
      </c>
      <c r="L93" s="6">
        <v>1</v>
      </c>
    </row>
    <row r="94" spans="2:12" ht="27.75" thickBot="1" x14ac:dyDescent="0.35">
      <c r="B94" s="14" t="s">
        <v>93</v>
      </c>
      <c r="C94" s="7">
        <f>+VLOOKUP(B94,J94:$L$257,3,0)</f>
        <v>1</v>
      </c>
      <c r="D94" s="15" t="str">
        <f t="shared" si="2"/>
        <v>CS 1</v>
      </c>
      <c r="E94" s="1" t="s">
        <v>265</v>
      </c>
      <c r="F94" s="17">
        <f t="shared" si="3"/>
        <v>41619</v>
      </c>
      <c r="J94" s="5" t="s">
        <v>91</v>
      </c>
      <c r="K94" s="16">
        <v>42772</v>
      </c>
      <c r="L94" s="6">
        <v>4</v>
      </c>
    </row>
    <row r="95" spans="2:12" ht="27.75" thickBot="1" x14ac:dyDescent="0.35">
      <c r="B95" s="14" t="s">
        <v>94</v>
      </c>
      <c r="C95" s="7">
        <f>+VLOOKUP(B95,J95:$L$257,3,0)</f>
        <v>4</v>
      </c>
      <c r="D95" s="15" t="str">
        <f t="shared" si="2"/>
        <v>CS 4</v>
      </c>
      <c r="E95" s="1" t="s">
        <v>255</v>
      </c>
      <c r="F95" s="17" t="str">
        <f t="shared" si="3"/>
        <v>30/11/2014</v>
      </c>
      <c r="J95" s="5" t="s">
        <v>92</v>
      </c>
      <c r="K95" s="16">
        <v>39574</v>
      </c>
      <c r="L95" s="6">
        <v>4</v>
      </c>
    </row>
    <row r="96" spans="2:12" ht="27.75" thickBot="1" x14ac:dyDescent="0.35">
      <c r="B96" s="14" t="s">
        <v>95</v>
      </c>
      <c r="C96" s="7">
        <f>+VLOOKUP(B96,J96:$L$257,3,0)</f>
        <v>5</v>
      </c>
      <c r="D96" s="15" t="str">
        <f t="shared" si="2"/>
        <v>CS 5</v>
      </c>
      <c r="E96" s="1" t="s">
        <v>255</v>
      </c>
      <c r="F96" s="17">
        <f t="shared" si="3"/>
        <v>42708</v>
      </c>
      <c r="J96" s="5" t="s">
        <v>93</v>
      </c>
      <c r="K96" s="16">
        <v>41619</v>
      </c>
      <c r="L96" s="6">
        <v>1</v>
      </c>
    </row>
    <row r="97" spans="2:12" ht="27.75" thickBot="1" x14ac:dyDescent="0.35">
      <c r="B97" s="14" t="s">
        <v>96</v>
      </c>
      <c r="C97" s="7">
        <f>+VLOOKUP(B97,J97:$L$257,3,0)</f>
        <v>4</v>
      </c>
      <c r="D97" s="15" t="str">
        <f t="shared" si="2"/>
        <v>CS 4</v>
      </c>
      <c r="E97" s="1" t="s">
        <v>265</v>
      </c>
      <c r="F97" s="17">
        <f t="shared" si="3"/>
        <v>43292</v>
      </c>
      <c r="J97" s="5" t="s">
        <v>94</v>
      </c>
      <c r="K97" s="6" t="s">
        <v>319</v>
      </c>
      <c r="L97" s="6">
        <v>4</v>
      </c>
    </row>
    <row r="98" spans="2:12" ht="27.75" thickBot="1" x14ac:dyDescent="0.35">
      <c r="B98" s="14" t="s">
        <v>97</v>
      </c>
      <c r="C98" s="7">
        <f>+VLOOKUP(B98,J98:$L$257,3,0)</f>
        <v>2</v>
      </c>
      <c r="D98" s="15" t="str">
        <f t="shared" si="2"/>
        <v>CS 2</v>
      </c>
      <c r="E98" s="1" t="s">
        <v>255</v>
      </c>
      <c r="F98" s="17">
        <f t="shared" si="3"/>
        <v>42837</v>
      </c>
      <c r="J98" s="5" t="s">
        <v>95</v>
      </c>
      <c r="K98" s="16">
        <v>42708</v>
      </c>
      <c r="L98" s="6">
        <v>5</v>
      </c>
    </row>
    <row r="99" spans="2:12" ht="19.5" thickBot="1" x14ac:dyDescent="0.35">
      <c r="B99" s="14" t="s">
        <v>98</v>
      </c>
      <c r="C99" s="7">
        <f>+VLOOKUP(B99,J99:$L$257,3,0)</f>
        <v>1</v>
      </c>
      <c r="D99" s="15" t="str">
        <f t="shared" si="2"/>
        <v>CS 1</v>
      </c>
      <c r="E99" s="1" t="s">
        <v>255</v>
      </c>
      <c r="F99" s="17" t="str">
        <f t="shared" si="3"/>
        <v>13/04/2014</v>
      </c>
      <c r="J99" s="5" t="s">
        <v>96</v>
      </c>
      <c r="K99" s="16">
        <v>43292</v>
      </c>
      <c r="L99" s="6">
        <v>4</v>
      </c>
    </row>
    <row r="100" spans="2:12" ht="27.75" thickBot="1" x14ac:dyDescent="0.35">
      <c r="B100" s="14" t="s">
        <v>99</v>
      </c>
      <c r="C100" s="7">
        <f>+VLOOKUP(B100,J100:$L$257,3,0)</f>
        <v>2</v>
      </c>
      <c r="D100" s="15" t="str">
        <f t="shared" si="2"/>
        <v>CS 2</v>
      </c>
      <c r="E100" s="1" t="s">
        <v>255</v>
      </c>
      <c r="F100" s="17">
        <f t="shared" si="3"/>
        <v>41609</v>
      </c>
      <c r="J100" s="5" t="s">
        <v>97</v>
      </c>
      <c r="K100" s="16">
        <v>42837</v>
      </c>
      <c r="L100" s="6">
        <v>2</v>
      </c>
    </row>
    <row r="101" spans="2:12" ht="19.5" thickBot="1" x14ac:dyDescent="0.35">
      <c r="B101" s="14" t="s">
        <v>100</v>
      </c>
      <c r="C101" s="7">
        <f>+VLOOKUP(B101,J101:$L$257,3,0)</f>
        <v>2</v>
      </c>
      <c r="D101" s="15" t="str">
        <f t="shared" si="2"/>
        <v>CS 2</v>
      </c>
      <c r="E101" s="1" t="s">
        <v>255</v>
      </c>
      <c r="F101" s="17">
        <f t="shared" si="3"/>
        <v>40949</v>
      </c>
      <c r="J101" s="5" t="s">
        <v>98</v>
      </c>
      <c r="K101" s="6" t="s">
        <v>320</v>
      </c>
      <c r="L101" s="6">
        <v>1</v>
      </c>
    </row>
    <row r="102" spans="2:12" ht="27.75" thickBot="1" x14ac:dyDescent="0.35">
      <c r="B102" s="14" t="s">
        <v>101</v>
      </c>
      <c r="C102" s="7">
        <f>+VLOOKUP(B102,J102:$L$257,3,0)</f>
        <v>2</v>
      </c>
      <c r="D102" s="15" t="str">
        <f t="shared" si="2"/>
        <v>CS 2</v>
      </c>
      <c r="E102" s="1" t="s">
        <v>255</v>
      </c>
      <c r="F102" s="17" t="str">
        <f t="shared" si="3"/>
        <v>24/03/2011</v>
      </c>
      <c r="J102" s="5" t="s">
        <v>99</v>
      </c>
      <c r="K102" s="16">
        <v>41609</v>
      </c>
      <c r="L102" s="6">
        <v>2</v>
      </c>
    </row>
    <row r="103" spans="2:12" ht="27.75" thickBot="1" x14ac:dyDescent="0.35">
      <c r="B103" s="14" t="s">
        <v>102</v>
      </c>
      <c r="C103" s="7">
        <f>+VLOOKUP(B103,J103:$L$257,3,0)</f>
        <v>1</v>
      </c>
      <c r="D103" s="15" t="str">
        <f t="shared" si="2"/>
        <v>CS 1</v>
      </c>
      <c r="E103" s="1" t="s">
        <v>255</v>
      </c>
      <c r="F103" s="17" t="str">
        <f t="shared" si="3"/>
        <v>19/05/2016</v>
      </c>
      <c r="J103" s="5" t="s">
        <v>100</v>
      </c>
      <c r="K103" s="16">
        <v>40949</v>
      </c>
      <c r="L103" s="6">
        <v>2</v>
      </c>
    </row>
    <row r="104" spans="2:12" ht="27.75" thickBot="1" x14ac:dyDescent="0.35">
      <c r="B104" s="14" t="s">
        <v>103</v>
      </c>
      <c r="C104" s="7">
        <f>+VLOOKUP(B104,J104:$L$257,3,0)</f>
        <v>4</v>
      </c>
      <c r="D104" s="15" t="str">
        <f t="shared" si="2"/>
        <v>CS 4</v>
      </c>
      <c r="E104" s="1" t="s">
        <v>255</v>
      </c>
      <c r="F104" s="17" t="str">
        <f t="shared" si="3"/>
        <v>13/08/2015</v>
      </c>
      <c r="J104" s="5" t="s">
        <v>101</v>
      </c>
      <c r="K104" s="6" t="s">
        <v>321</v>
      </c>
      <c r="L104" s="6">
        <v>2</v>
      </c>
    </row>
    <row r="105" spans="2:12" ht="19.5" thickBot="1" x14ac:dyDescent="0.35">
      <c r="B105" s="14" t="s">
        <v>104</v>
      </c>
      <c r="C105" s="7">
        <f>+VLOOKUP(B105,J105:$L$257,3,0)</f>
        <v>2</v>
      </c>
      <c r="D105" s="15" t="str">
        <f t="shared" si="2"/>
        <v>CS 2</v>
      </c>
      <c r="E105" s="1" t="s">
        <v>255</v>
      </c>
      <c r="F105" s="17" t="str">
        <f t="shared" si="3"/>
        <v>21/01/2018</v>
      </c>
      <c r="J105" s="5" t="s">
        <v>102</v>
      </c>
      <c r="K105" s="6" t="s">
        <v>322</v>
      </c>
      <c r="L105" s="6">
        <v>1</v>
      </c>
    </row>
    <row r="106" spans="2:12" ht="27.75" thickBot="1" x14ac:dyDescent="0.35">
      <c r="B106" s="14" t="s">
        <v>105</v>
      </c>
      <c r="C106" s="7">
        <f>+VLOOKUP(B106,J106:$L$257,3,0)</f>
        <v>1</v>
      </c>
      <c r="D106" s="15" t="str">
        <f t="shared" si="2"/>
        <v>CS 1</v>
      </c>
      <c r="E106" s="1" t="s">
        <v>255</v>
      </c>
      <c r="F106" s="17">
        <f t="shared" si="3"/>
        <v>42710</v>
      </c>
      <c r="J106" s="5" t="s">
        <v>103</v>
      </c>
      <c r="K106" s="6" t="s">
        <v>323</v>
      </c>
      <c r="L106" s="6">
        <v>4</v>
      </c>
    </row>
    <row r="107" spans="2:12" ht="19.5" thickBot="1" x14ac:dyDescent="0.35">
      <c r="B107" s="14" t="s">
        <v>106</v>
      </c>
      <c r="C107" s="7">
        <f>+VLOOKUP(B107,J107:$L$257,3,0)</f>
        <v>4</v>
      </c>
      <c r="D107" s="15" t="str">
        <f t="shared" si="2"/>
        <v>CS 4</v>
      </c>
      <c r="E107" s="1" t="s">
        <v>255</v>
      </c>
      <c r="F107" s="17">
        <f t="shared" si="3"/>
        <v>41822</v>
      </c>
      <c r="J107" s="5" t="s">
        <v>104</v>
      </c>
      <c r="K107" s="6" t="s">
        <v>324</v>
      </c>
      <c r="L107" s="6">
        <v>2</v>
      </c>
    </row>
    <row r="108" spans="2:12" ht="19.5" thickBot="1" x14ac:dyDescent="0.35">
      <c r="B108" s="14" t="s">
        <v>107</v>
      </c>
      <c r="C108" s="7">
        <f>+VLOOKUP(B108,J108:$L$257,3,0)</f>
        <v>2</v>
      </c>
      <c r="D108" s="15" t="str">
        <f t="shared" si="2"/>
        <v>CS 2</v>
      </c>
      <c r="E108" s="1" t="s">
        <v>255</v>
      </c>
      <c r="F108" s="17">
        <f t="shared" si="3"/>
        <v>40878</v>
      </c>
      <c r="J108" s="5" t="s">
        <v>105</v>
      </c>
      <c r="K108" s="16">
        <v>42710</v>
      </c>
      <c r="L108" s="6">
        <v>1</v>
      </c>
    </row>
    <row r="109" spans="2:12" ht="27.75" thickBot="1" x14ac:dyDescent="0.35">
      <c r="B109" s="14" t="s">
        <v>108</v>
      </c>
      <c r="C109" s="7">
        <f>+VLOOKUP(B109,J109:$L$257,3,0)</f>
        <v>2</v>
      </c>
      <c r="D109" s="15" t="str">
        <f t="shared" si="2"/>
        <v>CS 2</v>
      </c>
      <c r="E109" s="1" t="s">
        <v>255</v>
      </c>
      <c r="F109" s="17">
        <f t="shared" si="3"/>
        <v>42218</v>
      </c>
      <c r="J109" s="5" t="s">
        <v>106</v>
      </c>
      <c r="K109" s="16">
        <v>41822</v>
      </c>
      <c r="L109" s="6">
        <v>4</v>
      </c>
    </row>
    <row r="110" spans="2:12" ht="19.5" thickBot="1" x14ac:dyDescent="0.35">
      <c r="B110" s="14" t="s">
        <v>109</v>
      </c>
      <c r="C110" s="7">
        <f>+VLOOKUP(B110,J110:$L$257,3,0)</f>
        <v>1</v>
      </c>
      <c r="D110" s="15" t="str">
        <f t="shared" si="2"/>
        <v>CS 1</v>
      </c>
      <c r="E110" s="1" t="s">
        <v>265</v>
      </c>
      <c r="F110" s="17">
        <f t="shared" si="3"/>
        <v>40701</v>
      </c>
      <c r="J110" s="5" t="s">
        <v>107</v>
      </c>
      <c r="K110" s="16">
        <v>40878</v>
      </c>
      <c r="L110" s="6">
        <v>2</v>
      </c>
    </row>
    <row r="111" spans="2:12" ht="19.5" thickBot="1" x14ac:dyDescent="0.35">
      <c r="B111" s="14" t="s">
        <v>110</v>
      </c>
      <c r="C111" s="7">
        <f>+VLOOKUP(B111,J111:$L$257,3,0)</f>
        <v>2</v>
      </c>
      <c r="D111" s="15" t="str">
        <f t="shared" si="2"/>
        <v>CS 2</v>
      </c>
      <c r="E111" s="1" t="s">
        <v>255</v>
      </c>
      <c r="F111" s="17">
        <f t="shared" si="3"/>
        <v>42468</v>
      </c>
      <c r="J111" s="5" t="s">
        <v>108</v>
      </c>
      <c r="K111" s="16">
        <v>42218</v>
      </c>
      <c r="L111" s="6">
        <v>2</v>
      </c>
    </row>
    <row r="112" spans="2:12" ht="19.5" thickBot="1" x14ac:dyDescent="0.35">
      <c r="B112" s="14" t="s">
        <v>111</v>
      </c>
      <c r="C112" s="7">
        <f>+VLOOKUP(B112,J112:$L$257,3,0)</f>
        <v>2</v>
      </c>
      <c r="D112" s="15" t="str">
        <f t="shared" si="2"/>
        <v>CS 2</v>
      </c>
      <c r="E112" s="1" t="s">
        <v>255</v>
      </c>
      <c r="F112" s="17">
        <f t="shared" si="3"/>
        <v>39911</v>
      </c>
      <c r="J112" s="5" t="s">
        <v>109</v>
      </c>
      <c r="K112" s="16">
        <v>40701</v>
      </c>
      <c r="L112" s="6">
        <v>1</v>
      </c>
    </row>
    <row r="113" spans="2:12" ht="27.75" thickBot="1" x14ac:dyDescent="0.35">
      <c r="B113" s="14" t="s">
        <v>112</v>
      </c>
      <c r="C113" s="7">
        <f>+VLOOKUP(B113,J113:$L$257,3,0)</f>
        <v>2</v>
      </c>
      <c r="D113" s="15" t="str">
        <f t="shared" si="2"/>
        <v>CS 2</v>
      </c>
      <c r="E113" s="1" t="s">
        <v>255</v>
      </c>
      <c r="F113" s="17" t="str">
        <f t="shared" si="3"/>
        <v>24/03/2019</v>
      </c>
      <c r="J113" s="5" t="s">
        <v>110</v>
      </c>
      <c r="K113" s="16">
        <v>42468</v>
      </c>
      <c r="L113" s="6">
        <v>2</v>
      </c>
    </row>
    <row r="114" spans="2:12" ht="27.75" thickBot="1" x14ac:dyDescent="0.35">
      <c r="B114" s="14" t="s">
        <v>113</v>
      </c>
      <c r="C114" s="7">
        <f>+VLOOKUP(B114,J114:$L$257,3,0)</f>
        <v>2</v>
      </c>
      <c r="D114" s="15" t="str">
        <f t="shared" si="2"/>
        <v>CS 2</v>
      </c>
      <c r="E114" s="1" t="s">
        <v>255</v>
      </c>
      <c r="F114" s="17" t="str">
        <f t="shared" si="3"/>
        <v>30/07/2012</v>
      </c>
      <c r="J114" s="5" t="s">
        <v>111</v>
      </c>
      <c r="K114" s="16">
        <v>39911</v>
      </c>
      <c r="L114" s="6">
        <v>2</v>
      </c>
    </row>
    <row r="115" spans="2:12" ht="27.75" thickBot="1" x14ac:dyDescent="0.35">
      <c r="B115" s="14" t="s">
        <v>114</v>
      </c>
      <c r="C115" s="7">
        <f>+VLOOKUP(B115,J115:$L$257,3,0)</f>
        <v>3</v>
      </c>
      <c r="D115" s="15" t="str">
        <f t="shared" si="2"/>
        <v>CS 3</v>
      </c>
      <c r="E115" s="1" t="s">
        <v>265</v>
      </c>
      <c r="F115" s="17" t="str">
        <f t="shared" si="3"/>
        <v>15/06/2009</v>
      </c>
      <c r="J115" s="5" t="s">
        <v>112</v>
      </c>
      <c r="K115" s="6" t="s">
        <v>325</v>
      </c>
      <c r="L115" s="6">
        <v>2</v>
      </c>
    </row>
    <row r="116" spans="2:12" ht="27.75" thickBot="1" x14ac:dyDescent="0.35">
      <c r="B116" s="14" t="s">
        <v>115</v>
      </c>
      <c r="C116" s="7">
        <f>+VLOOKUP(B116,J116:$L$257,3,0)</f>
        <v>2</v>
      </c>
      <c r="D116" s="15" t="str">
        <f t="shared" si="2"/>
        <v>CS 2</v>
      </c>
      <c r="E116" s="1" t="s">
        <v>255</v>
      </c>
      <c r="F116" s="17" t="str">
        <f t="shared" si="3"/>
        <v>24/01/2012</v>
      </c>
      <c r="J116" s="5" t="s">
        <v>113</v>
      </c>
      <c r="K116" s="6" t="s">
        <v>326</v>
      </c>
      <c r="L116" s="6">
        <v>2</v>
      </c>
    </row>
    <row r="117" spans="2:12" ht="19.5" thickBot="1" x14ac:dyDescent="0.35">
      <c r="B117" s="14" t="s">
        <v>116</v>
      </c>
      <c r="C117" s="7">
        <f>+VLOOKUP(B117,J117:$L$257,3,0)</f>
        <v>2</v>
      </c>
      <c r="D117" s="15" t="str">
        <f t="shared" si="2"/>
        <v>CS 2</v>
      </c>
      <c r="E117" s="1" t="s">
        <v>255</v>
      </c>
      <c r="F117" s="17">
        <f t="shared" si="3"/>
        <v>39967</v>
      </c>
      <c r="J117" s="5" t="s">
        <v>114</v>
      </c>
      <c r="K117" s="6" t="s">
        <v>327</v>
      </c>
      <c r="L117" s="6">
        <v>3</v>
      </c>
    </row>
    <row r="118" spans="2:12" ht="27.75" thickBot="1" x14ac:dyDescent="0.35">
      <c r="B118" s="14" t="s">
        <v>117</v>
      </c>
      <c r="C118" s="7">
        <f>+VLOOKUP(B118,J118:$L$257,3,0)</f>
        <v>2</v>
      </c>
      <c r="D118" s="15" t="str">
        <f t="shared" si="2"/>
        <v>CS 2</v>
      </c>
      <c r="E118" s="1" t="s">
        <v>255</v>
      </c>
      <c r="F118" s="17" t="str">
        <f t="shared" si="3"/>
        <v>13/06/2017</v>
      </c>
      <c r="J118" s="5" t="s">
        <v>115</v>
      </c>
      <c r="K118" s="6" t="s">
        <v>328</v>
      </c>
      <c r="L118" s="6">
        <v>2</v>
      </c>
    </row>
    <row r="119" spans="2:12" ht="19.5" thickBot="1" x14ac:dyDescent="0.35">
      <c r="B119" s="14" t="s">
        <v>118</v>
      </c>
      <c r="C119" s="7">
        <f>+VLOOKUP(B119,J119:$L$257,3,0)</f>
        <v>2</v>
      </c>
      <c r="D119" s="15" t="str">
        <f t="shared" si="2"/>
        <v>CS 2</v>
      </c>
      <c r="E119" s="1" t="s">
        <v>255</v>
      </c>
      <c r="F119" s="17">
        <f t="shared" si="3"/>
        <v>43164</v>
      </c>
      <c r="J119" s="5" t="s">
        <v>116</v>
      </c>
      <c r="K119" s="16">
        <v>39967</v>
      </c>
      <c r="L119" s="6">
        <v>2</v>
      </c>
    </row>
    <row r="120" spans="2:12" ht="27.75" thickBot="1" x14ac:dyDescent="0.35">
      <c r="B120" s="14" t="s">
        <v>119</v>
      </c>
      <c r="C120" s="7">
        <f>+VLOOKUP(B120,J120:$L$257,3,0)</f>
        <v>2</v>
      </c>
      <c r="D120" s="15" t="str">
        <f t="shared" si="2"/>
        <v>CS 2</v>
      </c>
      <c r="E120" s="1" t="s">
        <v>265</v>
      </c>
      <c r="F120" s="17">
        <f t="shared" si="3"/>
        <v>42463</v>
      </c>
      <c r="J120" s="5" t="s">
        <v>117</v>
      </c>
      <c r="K120" s="6" t="s">
        <v>329</v>
      </c>
      <c r="L120" s="6">
        <v>2</v>
      </c>
    </row>
    <row r="121" spans="2:12" ht="27.75" thickBot="1" x14ac:dyDescent="0.35">
      <c r="B121" s="14" t="s">
        <v>120</v>
      </c>
      <c r="C121" s="7">
        <f>+VLOOKUP(B121,J121:$L$257,3,0)</f>
        <v>2</v>
      </c>
      <c r="D121" s="15" t="str">
        <f t="shared" si="2"/>
        <v>CS 2</v>
      </c>
      <c r="E121" s="1" t="s">
        <v>255</v>
      </c>
      <c r="F121" s="17" t="str">
        <f t="shared" si="3"/>
        <v>17/04/2014</v>
      </c>
      <c r="J121" s="5" t="s">
        <v>118</v>
      </c>
      <c r="K121" s="16">
        <v>43164</v>
      </c>
      <c r="L121" s="6">
        <v>2</v>
      </c>
    </row>
    <row r="122" spans="2:12" ht="19.5" thickBot="1" x14ac:dyDescent="0.35">
      <c r="B122" s="14" t="s">
        <v>121</v>
      </c>
      <c r="C122" s="7">
        <f>+VLOOKUP(B122,J122:$L$257,3,0)</f>
        <v>3</v>
      </c>
      <c r="D122" s="15" t="str">
        <f t="shared" si="2"/>
        <v>CS 3</v>
      </c>
      <c r="E122" s="1" t="s">
        <v>255</v>
      </c>
      <c r="F122" s="17" t="str">
        <f t="shared" si="3"/>
        <v>24/04/2016</v>
      </c>
      <c r="J122" s="5" t="s">
        <v>119</v>
      </c>
      <c r="K122" s="16">
        <v>42463</v>
      </c>
      <c r="L122" s="6">
        <v>2</v>
      </c>
    </row>
    <row r="123" spans="2:12" ht="19.5" thickBot="1" x14ac:dyDescent="0.35">
      <c r="B123" s="14" t="s">
        <v>122</v>
      </c>
      <c r="C123" s="7">
        <f>+VLOOKUP(B123,J123:$L$257,3,0)</f>
        <v>3</v>
      </c>
      <c r="D123" s="15" t="str">
        <f t="shared" si="2"/>
        <v>CS 3</v>
      </c>
      <c r="E123" s="1" t="s">
        <v>255</v>
      </c>
      <c r="F123" s="17" t="str">
        <f t="shared" si="3"/>
        <v>19/11/2017</v>
      </c>
      <c r="J123" s="5" t="s">
        <v>120</v>
      </c>
      <c r="K123" s="6" t="s">
        <v>330</v>
      </c>
      <c r="L123" s="6">
        <v>2</v>
      </c>
    </row>
    <row r="124" spans="2:12" ht="19.5" thickBot="1" x14ac:dyDescent="0.35">
      <c r="B124" s="14" t="s">
        <v>123</v>
      </c>
      <c r="C124" s="7">
        <f>+VLOOKUP(B124,J124:$L$257,3,0)</f>
        <v>1</v>
      </c>
      <c r="D124" s="15" t="str">
        <f t="shared" si="2"/>
        <v>CS 1</v>
      </c>
      <c r="E124" s="1" t="s">
        <v>255</v>
      </c>
      <c r="F124" s="17" t="str">
        <f t="shared" si="3"/>
        <v>19/12/2015</v>
      </c>
      <c r="J124" s="5" t="s">
        <v>121</v>
      </c>
      <c r="K124" s="6" t="s">
        <v>331</v>
      </c>
      <c r="L124" s="6">
        <v>3</v>
      </c>
    </row>
    <row r="125" spans="2:12" ht="19.5" thickBot="1" x14ac:dyDescent="0.35">
      <c r="B125" s="14" t="s">
        <v>124</v>
      </c>
      <c r="C125" s="7">
        <f>+VLOOKUP(B125,J125:$L$257,3,0)</f>
        <v>2</v>
      </c>
      <c r="D125" s="15" t="str">
        <f t="shared" si="2"/>
        <v>CS 2</v>
      </c>
      <c r="E125" s="1" t="s">
        <v>265</v>
      </c>
      <c r="F125" s="17">
        <f t="shared" si="3"/>
        <v>43592</v>
      </c>
      <c r="J125" s="5" t="s">
        <v>122</v>
      </c>
      <c r="K125" s="6" t="s">
        <v>332</v>
      </c>
      <c r="L125" s="6">
        <v>3</v>
      </c>
    </row>
    <row r="126" spans="2:12" ht="27.75" thickBot="1" x14ac:dyDescent="0.35">
      <c r="B126" s="14" t="s">
        <v>125</v>
      </c>
      <c r="C126" s="7">
        <f>+VLOOKUP(B126,J126:$L$257,3,0)</f>
        <v>4</v>
      </c>
      <c r="D126" s="15" t="str">
        <f t="shared" si="2"/>
        <v>CS 4</v>
      </c>
      <c r="E126" s="1" t="s">
        <v>265</v>
      </c>
      <c r="F126" s="17" t="str">
        <f t="shared" si="3"/>
        <v>18/08/2016</v>
      </c>
      <c r="J126" s="5" t="s">
        <v>123</v>
      </c>
      <c r="K126" s="6" t="s">
        <v>333</v>
      </c>
      <c r="L126" s="6">
        <v>1</v>
      </c>
    </row>
    <row r="127" spans="2:12" ht="19.5" thickBot="1" x14ac:dyDescent="0.35">
      <c r="B127" s="14" t="s">
        <v>126</v>
      </c>
      <c r="C127" s="7">
        <f>+VLOOKUP(B127,J127:$L$257,3,0)</f>
        <v>5</v>
      </c>
      <c r="D127" s="15" t="str">
        <f t="shared" si="2"/>
        <v>CS 5</v>
      </c>
      <c r="E127" s="1" t="s">
        <v>265</v>
      </c>
      <c r="F127" s="17" t="str">
        <f t="shared" si="3"/>
        <v>17/07/2019</v>
      </c>
      <c r="J127" s="5" t="s">
        <v>124</v>
      </c>
      <c r="K127" s="16">
        <v>43592</v>
      </c>
      <c r="L127" s="6">
        <v>2</v>
      </c>
    </row>
    <row r="128" spans="2:12" ht="27.75" thickBot="1" x14ac:dyDescent="0.35">
      <c r="B128" s="14" t="s">
        <v>127</v>
      </c>
      <c r="C128" s="7">
        <f>+VLOOKUP(B128,J128:$L$257,3,0)</f>
        <v>5</v>
      </c>
      <c r="D128" s="15" t="str">
        <f t="shared" si="2"/>
        <v>CS 5</v>
      </c>
      <c r="E128" s="1" t="s">
        <v>255</v>
      </c>
      <c r="F128" s="17">
        <f t="shared" si="3"/>
        <v>41003</v>
      </c>
      <c r="J128" s="5" t="s">
        <v>125</v>
      </c>
      <c r="K128" s="6" t="s">
        <v>334</v>
      </c>
      <c r="L128" s="6">
        <v>4</v>
      </c>
    </row>
    <row r="129" spans="2:12" ht="19.5" thickBot="1" x14ac:dyDescent="0.35">
      <c r="B129" s="14" t="s">
        <v>128</v>
      </c>
      <c r="C129" s="7">
        <f>+VLOOKUP(B129,J129:$L$257,3,0)</f>
        <v>2</v>
      </c>
      <c r="D129" s="15" t="str">
        <f t="shared" si="2"/>
        <v>CS 2</v>
      </c>
      <c r="E129" s="1" t="s">
        <v>265</v>
      </c>
      <c r="F129" s="17" t="str">
        <f t="shared" si="3"/>
        <v>19/07/2018</v>
      </c>
      <c r="J129" s="5" t="s">
        <v>126</v>
      </c>
      <c r="K129" s="6" t="s">
        <v>335</v>
      </c>
      <c r="L129" s="6">
        <v>5</v>
      </c>
    </row>
    <row r="130" spans="2:12" ht="27.75" thickBot="1" x14ac:dyDescent="0.35">
      <c r="B130" s="14" t="s">
        <v>129</v>
      </c>
      <c r="C130" s="7">
        <f>+VLOOKUP(B130,J130:$L$257,3,0)</f>
        <v>1</v>
      </c>
      <c r="D130" s="15" t="str">
        <f t="shared" si="2"/>
        <v>CS 1</v>
      </c>
      <c r="E130" s="1" t="s">
        <v>255</v>
      </c>
      <c r="F130" s="17" t="str">
        <f t="shared" si="3"/>
        <v>16/04/2013</v>
      </c>
      <c r="J130" s="5" t="s">
        <v>127</v>
      </c>
      <c r="K130" s="16">
        <v>41003</v>
      </c>
      <c r="L130" s="6">
        <v>5</v>
      </c>
    </row>
    <row r="131" spans="2:12" ht="27.75" thickBot="1" x14ac:dyDescent="0.35">
      <c r="B131" s="14" t="s">
        <v>130</v>
      </c>
      <c r="C131" s="7">
        <f>+VLOOKUP(B131,J131:$L$257,3,0)</f>
        <v>1</v>
      </c>
      <c r="D131" s="15" t="str">
        <f t="shared" ref="D131:D194" si="4">+VLOOKUP(C131,$N$8:$O$14,2,0)</f>
        <v>CS 1</v>
      </c>
      <c r="E131" s="1" t="s">
        <v>255</v>
      </c>
      <c r="F131" s="17" t="str">
        <f t="shared" ref="F131:F194" si="5">+VLOOKUP(B131,$J$1:$K$259,2,0)</f>
        <v>28/12/2014</v>
      </c>
      <c r="J131" s="5" t="s">
        <v>128</v>
      </c>
      <c r="K131" s="6" t="s">
        <v>336</v>
      </c>
      <c r="L131" s="6">
        <v>2</v>
      </c>
    </row>
    <row r="132" spans="2:12" ht="27.75" thickBot="1" x14ac:dyDescent="0.35">
      <c r="B132" s="14" t="s">
        <v>131</v>
      </c>
      <c r="C132" s="7">
        <f>+VLOOKUP(B132,J132:$L$257,3,0)</f>
        <v>2</v>
      </c>
      <c r="D132" s="15" t="str">
        <f t="shared" si="4"/>
        <v>CS 2</v>
      </c>
      <c r="E132" s="1" t="s">
        <v>265</v>
      </c>
      <c r="F132" s="17">
        <f t="shared" si="5"/>
        <v>38086</v>
      </c>
      <c r="J132" s="5" t="s">
        <v>129</v>
      </c>
      <c r="K132" s="6" t="s">
        <v>337</v>
      </c>
      <c r="L132" s="6">
        <v>1</v>
      </c>
    </row>
    <row r="133" spans="2:12" ht="27.75" thickBot="1" x14ac:dyDescent="0.35">
      <c r="B133" s="14" t="s">
        <v>132</v>
      </c>
      <c r="C133" s="7">
        <f>+VLOOKUP(B133,J133:$L$257,3,0)</f>
        <v>1</v>
      </c>
      <c r="D133" s="15" t="str">
        <f t="shared" si="4"/>
        <v>CS 1</v>
      </c>
      <c r="E133" s="1" t="s">
        <v>255</v>
      </c>
      <c r="F133" s="17">
        <f t="shared" si="5"/>
        <v>42644</v>
      </c>
      <c r="J133" s="5" t="s">
        <v>130</v>
      </c>
      <c r="K133" s="6" t="s">
        <v>338</v>
      </c>
      <c r="L133" s="6">
        <v>1</v>
      </c>
    </row>
    <row r="134" spans="2:12" ht="19.5" thickBot="1" x14ac:dyDescent="0.35">
      <c r="B134" s="14" t="s">
        <v>133</v>
      </c>
      <c r="C134" s="7">
        <f>+VLOOKUP(B134,J134:$L$257,3,0)</f>
        <v>1</v>
      </c>
      <c r="D134" s="15" t="str">
        <f t="shared" si="4"/>
        <v>CS 1</v>
      </c>
      <c r="E134" s="1" t="s">
        <v>255</v>
      </c>
      <c r="F134" s="17">
        <f t="shared" si="5"/>
        <v>42865</v>
      </c>
      <c r="J134" s="5" t="s">
        <v>131</v>
      </c>
      <c r="K134" s="16">
        <v>38086</v>
      </c>
      <c r="L134" s="6">
        <v>2</v>
      </c>
    </row>
    <row r="135" spans="2:12" ht="27.75" thickBot="1" x14ac:dyDescent="0.35">
      <c r="B135" s="14" t="s">
        <v>134</v>
      </c>
      <c r="C135" s="7">
        <f>+VLOOKUP(B135,J135:$L$257,3,0)</f>
        <v>4</v>
      </c>
      <c r="D135" s="15" t="str">
        <f t="shared" si="4"/>
        <v>CS 4</v>
      </c>
      <c r="E135" s="1" t="s">
        <v>255</v>
      </c>
      <c r="F135" s="17">
        <f t="shared" si="5"/>
        <v>43803</v>
      </c>
      <c r="J135" s="5" t="s">
        <v>132</v>
      </c>
      <c r="K135" s="16">
        <v>42644</v>
      </c>
      <c r="L135" s="6">
        <v>1</v>
      </c>
    </row>
    <row r="136" spans="2:12" ht="27.75" thickBot="1" x14ac:dyDescent="0.35">
      <c r="B136" s="14" t="s">
        <v>135</v>
      </c>
      <c r="C136" s="7">
        <f>+VLOOKUP(B136,J136:$L$257,3,0)</f>
        <v>2</v>
      </c>
      <c r="D136" s="15" t="str">
        <f t="shared" si="4"/>
        <v>CS 2</v>
      </c>
      <c r="E136" s="1" t="s">
        <v>255</v>
      </c>
      <c r="F136" s="17">
        <f t="shared" si="5"/>
        <v>42192</v>
      </c>
      <c r="J136" s="5" t="s">
        <v>133</v>
      </c>
      <c r="K136" s="16">
        <v>42865</v>
      </c>
      <c r="L136" s="6">
        <v>1</v>
      </c>
    </row>
    <row r="137" spans="2:12" ht="19.5" thickBot="1" x14ac:dyDescent="0.35">
      <c r="B137" s="14" t="s">
        <v>136</v>
      </c>
      <c r="C137" s="7">
        <f>+VLOOKUP(B137,J137:$L$257,3,0)</f>
        <v>5</v>
      </c>
      <c r="D137" s="15" t="str">
        <f t="shared" si="4"/>
        <v>CS 5</v>
      </c>
      <c r="E137" s="1" t="s">
        <v>255</v>
      </c>
      <c r="F137" s="17" t="str">
        <f t="shared" si="5"/>
        <v>20/08/2015</v>
      </c>
      <c r="J137" s="5" t="s">
        <v>134</v>
      </c>
      <c r="K137" s="16">
        <v>43803</v>
      </c>
      <c r="L137" s="6">
        <v>4</v>
      </c>
    </row>
    <row r="138" spans="2:12" ht="19.5" thickBot="1" x14ac:dyDescent="0.35">
      <c r="B138" s="14" t="s">
        <v>137</v>
      </c>
      <c r="C138" s="7">
        <f>+VLOOKUP(B138,J138:$L$257,3,0)</f>
        <v>3</v>
      </c>
      <c r="D138" s="15" t="str">
        <f t="shared" si="4"/>
        <v>CS 3</v>
      </c>
      <c r="E138" s="1" t="s">
        <v>255</v>
      </c>
      <c r="F138" s="17" t="str">
        <f t="shared" si="5"/>
        <v>29/11/2013</v>
      </c>
      <c r="J138" s="5" t="s">
        <v>135</v>
      </c>
      <c r="K138" s="16">
        <v>42192</v>
      </c>
      <c r="L138" s="6">
        <v>2</v>
      </c>
    </row>
    <row r="139" spans="2:12" ht="27.75" thickBot="1" x14ac:dyDescent="0.35">
      <c r="B139" s="14" t="s">
        <v>138</v>
      </c>
      <c r="C139" s="7">
        <f>+VLOOKUP(B139,J139:$L$257,3,0)</f>
        <v>3</v>
      </c>
      <c r="D139" s="15" t="str">
        <f t="shared" si="4"/>
        <v>CS 3</v>
      </c>
      <c r="E139" s="1" t="s">
        <v>255</v>
      </c>
      <c r="F139" s="17">
        <f t="shared" si="5"/>
        <v>43384</v>
      </c>
      <c r="J139" s="5" t="s">
        <v>136</v>
      </c>
      <c r="K139" s="6" t="s">
        <v>339</v>
      </c>
      <c r="L139" s="6">
        <v>5</v>
      </c>
    </row>
    <row r="140" spans="2:12" ht="27.75" thickBot="1" x14ac:dyDescent="0.35">
      <c r="B140" s="14" t="s">
        <v>139</v>
      </c>
      <c r="C140" s="7">
        <f>+VLOOKUP(B140,J140:$L$257,3,0)</f>
        <v>4</v>
      </c>
      <c r="D140" s="15" t="str">
        <f t="shared" si="4"/>
        <v>CS 4</v>
      </c>
      <c r="E140" s="1" t="s">
        <v>255</v>
      </c>
      <c r="F140" s="17" t="str">
        <f t="shared" si="5"/>
        <v>19/12/2013</v>
      </c>
      <c r="J140" s="5" t="s">
        <v>137</v>
      </c>
      <c r="K140" s="6" t="s">
        <v>340</v>
      </c>
      <c r="L140" s="6">
        <v>3</v>
      </c>
    </row>
    <row r="141" spans="2:12" ht="27.75" thickBot="1" x14ac:dyDescent="0.35">
      <c r="B141" s="14" t="s">
        <v>140</v>
      </c>
      <c r="C141" s="7">
        <f>+VLOOKUP(B141,J141:$L$257,3,0)</f>
        <v>3</v>
      </c>
      <c r="D141" s="15" t="str">
        <f t="shared" si="4"/>
        <v>CS 3</v>
      </c>
      <c r="E141" s="1" t="s">
        <v>255</v>
      </c>
      <c r="F141" s="17" t="str">
        <f t="shared" si="5"/>
        <v>14/03/2019</v>
      </c>
      <c r="J141" s="5" t="s">
        <v>138</v>
      </c>
      <c r="K141" s="16">
        <v>43384</v>
      </c>
      <c r="L141" s="6">
        <v>3</v>
      </c>
    </row>
    <row r="142" spans="2:12" ht="19.5" thickBot="1" x14ac:dyDescent="0.35">
      <c r="B142" s="14" t="s">
        <v>141</v>
      </c>
      <c r="C142" s="7">
        <f>+VLOOKUP(B142,J142:$L$257,3,0)</f>
        <v>2</v>
      </c>
      <c r="D142" s="15" t="str">
        <f t="shared" si="4"/>
        <v>CS 2</v>
      </c>
      <c r="E142" s="1" t="s">
        <v>255</v>
      </c>
      <c r="F142" s="17" t="str">
        <f t="shared" si="5"/>
        <v>15/11/2013</v>
      </c>
      <c r="J142" s="5" t="s">
        <v>139</v>
      </c>
      <c r="K142" s="6" t="s">
        <v>341</v>
      </c>
      <c r="L142" s="6">
        <v>4</v>
      </c>
    </row>
    <row r="143" spans="2:12" ht="27.75" thickBot="1" x14ac:dyDescent="0.35">
      <c r="B143" s="14" t="s">
        <v>142</v>
      </c>
      <c r="C143" s="7">
        <f>+VLOOKUP(B143,J143:$L$257,3,0)</f>
        <v>5</v>
      </c>
      <c r="D143" s="15" t="str">
        <f t="shared" si="4"/>
        <v>CS 5</v>
      </c>
      <c r="E143" s="1" t="s">
        <v>255</v>
      </c>
      <c r="F143" s="17" t="str">
        <f t="shared" si="5"/>
        <v>14/09/2014</v>
      </c>
      <c r="J143" s="5" t="s">
        <v>140</v>
      </c>
      <c r="K143" s="6" t="s">
        <v>342</v>
      </c>
      <c r="L143" s="6">
        <v>3</v>
      </c>
    </row>
    <row r="144" spans="2:12" ht="27.75" thickBot="1" x14ac:dyDescent="0.35">
      <c r="B144" s="14" t="s">
        <v>143</v>
      </c>
      <c r="C144" s="7">
        <f>+VLOOKUP(B144,J144:$L$257,3,0)</f>
        <v>2</v>
      </c>
      <c r="D144" s="15" t="str">
        <f t="shared" si="4"/>
        <v>CS 2</v>
      </c>
      <c r="E144" s="1" t="s">
        <v>255</v>
      </c>
      <c r="F144" s="17">
        <f t="shared" si="5"/>
        <v>43741</v>
      </c>
      <c r="J144" s="5" t="s">
        <v>141</v>
      </c>
      <c r="K144" s="6" t="s">
        <v>343</v>
      </c>
      <c r="L144" s="6">
        <v>2</v>
      </c>
    </row>
    <row r="145" spans="2:12" ht="27.75" thickBot="1" x14ac:dyDescent="0.35">
      <c r="B145" s="14" t="s">
        <v>144</v>
      </c>
      <c r="C145" s="7">
        <f>+VLOOKUP(B145,J145:$L$257,3,0)</f>
        <v>5</v>
      </c>
      <c r="D145" s="15" t="str">
        <f t="shared" si="4"/>
        <v>CS 5</v>
      </c>
      <c r="E145" s="1" t="s">
        <v>255</v>
      </c>
      <c r="F145" s="17" t="str">
        <f t="shared" si="5"/>
        <v>17/09/2014</v>
      </c>
      <c r="J145" s="5" t="s">
        <v>142</v>
      </c>
      <c r="K145" s="6" t="s">
        <v>344</v>
      </c>
      <c r="L145" s="6">
        <v>5</v>
      </c>
    </row>
    <row r="146" spans="2:12" ht="27.75" thickBot="1" x14ac:dyDescent="0.35">
      <c r="B146" s="14" t="s">
        <v>145</v>
      </c>
      <c r="C146" s="7">
        <f>+VLOOKUP(B146,J146:$L$257,3,0)</f>
        <v>5</v>
      </c>
      <c r="D146" s="15" t="str">
        <f t="shared" si="4"/>
        <v>CS 5</v>
      </c>
      <c r="E146" s="1" t="s">
        <v>265</v>
      </c>
      <c r="F146" s="17" t="str">
        <f t="shared" si="5"/>
        <v>30/08/2019</v>
      </c>
      <c r="J146" s="5" t="s">
        <v>143</v>
      </c>
      <c r="K146" s="16">
        <v>43741</v>
      </c>
      <c r="L146" s="6">
        <v>2</v>
      </c>
    </row>
    <row r="147" spans="2:12" ht="19.5" thickBot="1" x14ac:dyDescent="0.35">
      <c r="B147" s="14" t="s">
        <v>146</v>
      </c>
      <c r="C147" s="7">
        <f>+VLOOKUP(B147,J147:$L$257,3,0)</f>
        <v>2</v>
      </c>
      <c r="D147" s="15" t="str">
        <f t="shared" si="4"/>
        <v>CS 2</v>
      </c>
      <c r="E147" s="1" t="s">
        <v>255</v>
      </c>
      <c r="F147" s="17">
        <f t="shared" si="5"/>
        <v>43136</v>
      </c>
      <c r="J147" s="5" t="s">
        <v>144</v>
      </c>
      <c r="K147" s="6" t="s">
        <v>345</v>
      </c>
      <c r="L147" s="6">
        <v>5</v>
      </c>
    </row>
    <row r="148" spans="2:12" ht="19.5" thickBot="1" x14ac:dyDescent="0.35">
      <c r="B148" s="14" t="s">
        <v>147</v>
      </c>
      <c r="C148" s="7">
        <f>+VLOOKUP(B148,J148:$L$257,3,0)</f>
        <v>5</v>
      </c>
      <c r="D148" s="15" t="str">
        <f t="shared" si="4"/>
        <v>CS 5</v>
      </c>
      <c r="E148" s="1" t="s">
        <v>255</v>
      </c>
      <c r="F148" s="17" t="str">
        <f t="shared" si="5"/>
        <v>21/04/2016</v>
      </c>
      <c r="J148" s="5" t="s">
        <v>145</v>
      </c>
      <c r="K148" s="6" t="s">
        <v>346</v>
      </c>
      <c r="L148" s="6">
        <v>5</v>
      </c>
    </row>
    <row r="149" spans="2:12" ht="19.5" thickBot="1" x14ac:dyDescent="0.35">
      <c r="B149" s="14" t="s">
        <v>148</v>
      </c>
      <c r="C149" s="7">
        <f>+VLOOKUP(B149,J149:$L$257,3,0)</f>
        <v>1</v>
      </c>
      <c r="D149" s="15" t="str">
        <f t="shared" si="4"/>
        <v>CS 1</v>
      </c>
      <c r="E149" s="1" t="s">
        <v>265</v>
      </c>
      <c r="F149" s="17" t="str">
        <f t="shared" si="5"/>
        <v>16/01/2017</v>
      </c>
      <c r="J149" s="5" t="s">
        <v>146</v>
      </c>
      <c r="K149" s="16">
        <v>43136</v>
      </c>
      <c r="L149" s="6">
        <v>2</v>
      </c>
    </row>
    <row r="150" spans="2:12" ht="27.75" thickBot="1" x14ac:dyDescent="0.35">
      <c r="B150" s="14" t="s">
        <v>149</v>
      </c>
      <c r="C150" s="7">
        <f>+VLOOKUP(B150,J150:$L$257,3,0)</f>
        <v>3</v>
      </c>
      <c r="D150" s="15" t="str">
        <f t="shared" si="4"/>
        <v>CS 3</v>
      </c>
      <c r="E150" s="1" t="s">
        <v>265</v>
      </c>
      <c r="F150" s="17" t="str">
        <f t="shared" si="5"/>
        <v>21/08/2018</v>
      </c>
      <c r="J150" s="5" t="s">
        <v>147</v>
      </c>
      <c r="K150" s="6" t="s">
        <v>347</v>
      </c>
      <c r="L150" s="6">
        <v>5</v>
      </c>
    </row>
    <row r="151" spans="2:12" ht="19.5" thickBot="1" x14ac:dyDescent="0.35">
      <c r="B151" s="14" t="s">
        <v>150</v>
      </c>
      <c r="C151" s="7">
        <f>+VLOOKUP(B151,J151:$L$257,3,0)</f>
        <v>2</v>
      </c>
      <c r="D151" s="15" t="str">
        <f t="shared" si="4"/>
        <v>CS 2</v>
      </c>
      <c r="E151" s="1" t="s">
        <v>265</v>
      </c>
      <c r="F151" s="17" t="str">
        <f t="shared" si="5"/>
        <v>22/08/2013</v>
      </c>
      <c r="J151" s="5" t="s">
        <v>148</v>
      </c>
      <c r="K151" s="6" t="s">
        <v>348</v>
      </c>
      <c r="L151" s="6">
        <v>1</v>
      </c>
    </row>
    <row r="152" spans="2:12" ht="19.5" thickBot="1" x14ac:dyDescent="0.35">
      <c r="B152" s="14" t="s">
        <v>151</v>
      </c>
      <c r="C152" s="7">
        <f>+VLOOKUP(B152,J152:$L$257,3,0)</f>
        <v>5</v>
      </c>
      <c r="D152" s="15" t="str">
        <f t="shared" si="4"/>
        <v>CS 5</v>
      </c>
      <c r="E152" s="1" t="s">
        <v>255</v>
      </c>
      <c r="F152" s="17">
        <f t="shared" si="5"/>
        <v>43138</v>
      </c>
      <c r="J152" s="5" t="s">
        <v>149</v>
      </c>
      <c r="K152" s="6" t="s">
        <v>349</v>
      </c>
      <c r="L152" s="6">
        <v>3</v>
      </c>
    </row>
    <row r="153" spans="2:12" ht="19.5" thickBot="1" x14ac:dyDescent="0.35">
      <c r="B153" s="14" t="s">
        <v>152</v>
      </c>
      <c r="C153" s="7">
        <f>+VLOOKUP(B153,J153:$L$257,3,0)</f>
        <v>2</v>
      </c>
      <c r="D153" s="15" t="str">
        <f t="shared" si="4"/>
        <v>CS 2</v>
      </c>
      <c r="E153" s="1" t="s">
        <v>255</v>
      </c>
      <c r="F153" s="17" t="str">
        <f t="shared" si="5"/>
        <v>27/12/2019</v>
      </c>
      <c r="J153" s="5" t="s">
        <v>150</v>
      </c>
      <c r="K153" s="6" t="s">
        <v>350</v>
      </c>
      <c r="L153" s="6">
        <v>2</v>
      </c>
    </row>
    <row r="154" spans="2:12" ht="19.5" thickBot="1" x14ac:dyDescent="0.35">
      <c r="B154" s="14" t="s">
        <v>153</v>
      </c>
      <c r="C154" s="7">
        <f>+VLOOKUP(B154,J154:$L$257,3,0)</f>
        <v>4</v>
      </c>
      <c r="D154" s="15" t="str">
        <f t="shared" si="4"/>
        <v>CS 4</v>
      </c>
      <c r="E154" s="1" t="s">
        <v>255</v>
      </c>
      <c r="F154" s="17">
        <f t="shared" si="5"/>
        <v>43682</v>
      </c>
      <c r="J154" s="5" t="s">
        <v>151</v>
      </c>
      <c r="K154" s="16">
        <v>43138</v>
      </c>
      <c r="L154" s="6">
        <v>5</v>
      </c>
    </row>
    <row r="155" spans="2:12" ht="27.75" thickBot="1" x14ac:dyDescent="0.35">
      <c r="B155" s="14" t="s">
        <v>154</v>
      </c>
      <c r="C155" s="7">
        <f>+VLOOKUP(B155,J155:$L$257,3,0)</f>
        <v>1</v>
      </c>
      <c r="D155" s="15" t="str">
        <f t="shared" si="4"/>
        <v>CS 1</v>
      </c>
      <c r="E155" s="1" t="s">
        <v>255</v>
      </c>
      <c r="F155" s="17">
        <f t="shared" si="5"/>
        <v>41335</v>
      </c>
      <c r="J155" s="5" t="s">
        <v>152</v>
      </c>
      <c r="K155" s="6" t="s">
        <v>351</v>
      </c>
      <c r="L155" s="6">
        <v>2</v>
      </c>
    </row>
    <row r="156" spans="2:12" ht="19.5" thickBot="1" x14ac:dyDescent="0.35">
      <c r="B156" s="14" t="s">
        <v>155</v>
      </c>
      <c r="C156" s="7">
        <f>+VLOOKUP(B156,J156:$L$257,3,0)</f>
        <v>2</v>
      </c>
      <c r="D156" s="15" t="str">
        <f t="shared" si="4"/>
        <v>CS 2</v>
      </c>
      <c r="E156" s="1" t="s">
        <v>265</v>
      </c>
      <c r="F156" s="17" t="str">
        <f t="shared" si="5"/>
        <v>23/04/2013</v>
      </c>
      <c r="J156" s="5" t="s">
        <v>153</v>
      </c>
      <c r="K156" s="16">
        <v>43682</v>
      </c>
      <c r="L156" s="6">
        <v>4</v>
      </c>
    </row>
    <row r="157" spans="2:12" ht="27.75" thickBot="1" x14ac:dyDescent="0.35">
      <c r="B157" s="14" t="s">
        <v>156</v>
      </c>
      <c r="C157" s="7">
        <f>+VLOOKUP(B157,J157:$L$257,3,0)</f>
        <v>2</v>
      </c>
      <c r="D157" s="15" t="str">
        <f t="shared" si="4"/>
        <v>CS 2</v>
      </c>
      <c r="E157" s="1" t="s">
        <v>255</v>
      </c>
      <c r="F157" s="17" t="str">
        <f t="shared" si="5"/>
        <v>23/11/2016</v>
      </c>
      <c r="J157" s="5" t="s">
        <v>154</v>
      </c>
      <c r="K157" s="16">
        <v>41335</v>
      </c>
      <c r="L157" s="6">
        <v>1</v>
      </c>
    </row>
    <row r="158" spans="2:12" ht="27.75" thickBot="1" x14ac:dyDescent="0.35">
      <c r="B158" s="14" t="s">
        <v>157</v>
      </c>
      <c r="C158" s="7">
        <f>+VLOOKUP(B158,J158:$L$257,3,0)</f>
        <v>2</v>
      </c>
      <c r="D158" s="15" t="str">
        <f t="shared" si="4"/>
        <v>CS 2</v>
      </c>
      <c r="E158" s="1" t="s">
        <v>265</v>
      </c>
      <c r="F158" s="17" t="str">
        <f t="shared" si="5"/>
        <v>16/06/2014</v>
      </c>
      <c r="J158" s="5" t="s">
        <v>155</v>
      </c>
      <c r="K158" s="6" t="s">
        <v>352</v>
      </c>
      <c r="L158" s="6">
        <v>2</v>
      </c>
    </row>
    <row r="159" spans="2:12" ht="27.75" thickBot="1" x14ac:dyDescent="0.35">
      <c r="B159" s="14" t="s">
        <v>158</v>
      </c>
      <c r="C159" s="7">
        <f>+VLOOKUP(B159,J159:$L$257,3,0)</f>
        <v>2</v>
      </c>
      <c r="D159" s="15" t="str">
        <f t="shared" si="4"/>
        <v>CS 2</v>
      </c>
      <c r="E159" s="1" t="s">
        <v>255</v>
      </c>
      <c r="F159" s="17" t="str">
        <f t="shared" si="5"/>
        <v>29/05/2012</v>
      </c>
      <c r="J159" s="5" t="s">
        <v>156</v>
      </c>
      <c r="K159" s="6" t="s">
        <v>353</v>
      </c>
      <c r="L159" s="6">
        <v>2</v>
      </c>
    </row>
    <row r="160" spans="2:12" ht="27.75" thickBot="1" x14ac:dyDescent="0.35">
      <c r="B160" s="14" t="s">
        <v>159</v>
      </c>
      <c r="C160" s="7">
        <f>+VLOOKUP(B160,J160:$L$257,3,0)</f>
        <v>2</v>
      </c>
      <c r="D160" s="15" t="str">
        <f t="shared" si="4"/>
        <v>CS 2</v>
      </c>
      <c r="E160" s="1" t="s">
        <v>255</v>
      </c>
      <c r="F160" s="17" t="str">
        <f t="shared" si="5"/>
        <v>15/01/2016</v>
      </c>
      <c r="J160" s="5" t="s">
        <v>157</v>
      </c>
      <c r="K160" s="6" t="s">
        <v>354</v>
      </c>
      <c r="L160" s="6">
        <v>2</v>
      </c>
    </row>
    <row r="161" spans="2:12" ht="27.75" thickBot="1" x14ac:dyDescent="0.35">
      <c r="B161" s="14" t="s">
        <v>160</v>
      </c>
      <c r="C161" s="7">
        <f>+VLOOKUP(B161,J161:$L$257,3,0)</f>
        <v>1</v>
      </c>
      <c r="D161" s="15" t="str">
        <f t="shared" si="4"/>
        <v>CS 1</v>
      </c>
      <c r="E161" s="1" t="s">
        <v>255</v>
      </c>
      <c r="F161" s="17" t="str">
        <f t="shared" si="5"/>
        <v>27/05/2015</v>
      </c>
      <c r="J161" s="5" t="s">
        <v>158</v>
      </c>
      <c r="K161" s="6" t="s">
        <v>355</v>
      </c>
      <c r="L161" s="6">
        <v>2</v>
      </c>
    </row>
    <row r="162" spans="2:12" ht="27.75" thickBot="1" x14ac:dyDescent="0.35">
      <c r="B162" s="14" t="s">
        <v>161</v>
      </c>
      <c r="C162" s="7">
        <f>+VLOOKUP(B162,J162:$L$257,3,0)</f>
        <v>1</v>
      </c>
      <c r="D162" s="15" t="str">
        <f t="shared" si="4"/>
        <v>CS 1</v>
      </c>
      <c r="E162" s="1" t="s">
        <v>265</v>
      </c>
      <c r="F162" s="17">
        <f t="shared" si="5"/>
        <v>42472</v>
      </c>
      <c r="J162" s="5" t="s">
        <v>159</v>
      </c>
      <c r="K162" s="6" t="s">
        <v>356</v>
      </c>
      <c r="L162" s="6">
        <v>2</v>
      </c>
    </row>
    <row r="163" spans="2:12" ht="19.5" thickBot="1" x14ac:dyDescent="0.35">
      <c r="B163" s="14" t="s">
        <v>162</v>
      </c>
      <c r="C163" s="7">
        <f>+VLOOKUP(B163,J163:$L$257,3,0)</f>
        <v>5</v>
      </c>
      <c r="D163" s="15" t="str">
        <f t="shared" si="4"/>
        <v>CS 5</v>
      </c>
      <c r="E163" s="1" t="s">
        <v>255</v>
      </c>
      <c r="F163" s="17">
        <f t="shared" si="5"/>
        <v>42222</v>
      </c>
      <c r="J163" s="5" t="s">
        <v>160</v>
      </c>
      <c r="K163" s="6" t="s">
        <v>357</v>
      </c>
      <c r="L163" s="6">
        <v>1</v>
      </c>
    </row>
    <row r="164" spans="2:12" ht="19.5" thickBot="1" x14ac:dyDescent="0.35">
      <c r="B164" s="14" t="s">
        <v>163</v>
      </c>
      <c r="C164" s="7">
        <f>+VLOOKUP(B164,J164:$L$257,3,0)</f>
        <v>5</v>
      </c>
      <c r="D164" s="15" t="str">
        <f t="shared" si="4"/>
        <v>CS 5</v>
      </c>
      <c r="E164" s="1" t="s">
        <v>255</v>
      </c>
      <c r="F164" s="17">
        <f t="shared" si="5"/>
        <v>43596</v>
      </c>
      <c r="J164" s="5" t="s">
        <v>161</v>
      </c>
      <c r="K164" s="16">
        <v>42472</v>
      </c>
      <c r="L164" s="6">
        <v>1</v>
      </c>
    </row>
    <row r="165" spans="2:12" ht="27.75" thickBot="1" x14ac:dyDescent="0.35">
      <c r="B165" s="14" t="s">
        <v>164</v>
      </c>
      <c r="C165" s="7">
        <f>+VLOOKUP(B165,J165:$L$257,3,0)</f>
        <v>5</v>
      </c>
      <c r="D165" s="15" t="str">
        <f t="shared" si="4"/>
        <v>CS 5</v>
      </c>
      <c r="E165" s="1" t="s">
        <v>265</v>
      </c>
      <c r="F165" s="17">
        <f t="shared" si="5"/>
        <v>40969</v>
      </c>
      <c r="J165" s="5" t="s">
        <v>162</v>
      </c>
      <c r="K165" s="16">
        <v>42222</v>
      </c>
      <c r="L165" s="6">
        <v>5</v>
      </c>
    </row>
    <row r="166" spans="2:12" ht="19.5" thickBot="1" x14ac:dyDescent="0.35">
      <c r="B166" s="14" t="s">
        <v>165</v>
      </c>
      <c r="C166" s="7">
        <f>+VLOOKUP(B166,J166:$L$257,3,0)</f>
        <v>6</v>
      </c>
      <c r="D166" s="15" t="str">
        <f t="shared" si="4"/>
        <v>CS 6</v>
      </c>
      <c r="E166" s="1" t="s">
        <v>255</v>
      </c>
      <c r="F166" s="17">
        <f t="shared" si="5"/>
        <v>42655</v>
      </c>
      <c r="J166" s="5" t="s">
        <v>163</v>
      </c>
      <c r="K166" s="16">
        <v>43596</v>
      </c>
      <c r="L166" s="6">
        <v>5</v>
      </c>
    </row>
    <row r="167" spans="2:12" ht="19.5" thickBot="1" x14ac:dyDescent="0.35">
      <c r="B167" s="14" t="s">
        <v>166</v>
      </c>
      <c r="C167" s="7">
        <f>+VLOOKUP(B167,J167:$L$257,3,0)</f>
        <v>6</v>
      </c>
      <c r="D167" s="15" t="str">
        <f t="shared" si="4"/>
        <v>CS 6</v>
      </c>
      <c r="E167" s="1" t="s">
        <v>255</v>
      </c>
      <c r="F167" s="17">
        <f t="shared" si="5"/>
        <v>42655</v>
      </c>
      <c r="J167" s="5" t="s">
        <v>164</v>
      </c>
      <c r="K167" s="16">
        <v>40969</v>
      </c>
      <c r="L167" s="6">
        <v>5</v>
      </c>
    </row>
    <row r="168" spans="2:12" ht="19.5" thickBot="1" x14ac:dyDescent="0.35">
      <c r="B168" s="14" t="s">
        <v>167</v>
      </c>
      <c r="C168" s="7">
        <f>+VLOOKUP(B168,J168:$L$257,3,0)</f>
        <v>6</v>
      </c>
      <c r="D168" s="15" t="str">
        <f t="shared" si="4"/>
        <v>CS 6</v>
      </c>
      <c r="E168" s="1" t="s">
        <v>265</v>
      </c>
      <c r="F168" s="17" t="str">
        <f t="shared" si="5"/>
        <v>24/06/2018</v>
      </c>
      <c r="J168" s="5" t="s">
        <v>165</v>
      </c>
      <c r="K168" s="16">
        <v>42655</v>
      </c>
      <c r="L168" s="6">
        <v>6</v>
      </c>
    </row>
    <row r="169" spans="2:12" ht="19.5" thickBot="1" x14ac:dyDescent="0.35">
      <c r="B169" s="14" t="s">
        <v>168</v>
      </c>
      <c r="C169" s="7">
        <f>+VLOOKUP(B169,J169:$L$257,3,0)</f>
        <v>6</v>
      </c>
      <c r="D169" s="15" t="str">
        <f t="shared" si="4"/>
        <v>CS 6</v>
      </c>
      <c r="E169" s="1" t="s">
        <v>265</v>
      </c>
      <c r="F169" s="17" t="str">
        <f t="shared" si="5"/>
        <v>15/02/2013</v>
      </c>
      <c r="J169" s="5" t="s">
        <v>166</v>
      </c>
      <c r="K169" s="16">
        <v>42655</v>
      </c>
      <c r="L169" s="6">
        <v>6</v>
      </c>
    </row>
    <row r="170" spans="2:12" ht="27.75" thickBot="1" x14ac:dyDescent="0.35">
      <c r="B170" s="14" t="s">
        <v>169</v>
      </c>
      <c r="C170" s="7">
        <f>+VLOOKUP(B170,J170:$L$257,3,0)</f>
        <v>5</v>
      </c>
      <c r="D170" s="15" t="str">
        <f t="shared" si="4"/>
        <v>CS 5</v>
      </c>
      <c r="E170" s="1" t="s">
        <v>255</v>
      </c>
      <c r="F170" s="17">
        <f t="shared" si="5"/>
        <v>41800</v>
      </c>
      <c r="J170" s="5" t="s">
        <v>167</v>
      </c>
      <c r="K170" s="6" t="s">
        <v>358</v>
      </c>
      <c r="L170" s="6">
        <v>6</v>
      </c>
    </row>
    <row r="171" spans="2:12" ht="27.75" thickBot="1" x14ac:dyDescent="0.35">
      <c r="B171" s="14" t="s">
        <v>170</v>
      </c>
      <c r="C171" s="7">
        <f>+VLOOKUP(B171,J171:$L$257,3,0)</f>
        <v>2</v>
      </c>
      <c r="D171" s="15" t="str">
        <f t="shared" si="4"/>
        <v>CS 2</v>
      </c>
      <c r="E171" s="1" t="s">
        <v>255</v>
      </c>
      <c r="F171" s="17" t="str">
        <f t="shared" si="5"/>
        <v>23/11/2015</v>
      </c>
      <c r="J171" s="5" t="s">
        <v>168</v>
      </c>
      <c r="K171" s="6" t="s">
        <v>359</v>
      </c>
      <c r="L171" s="6">
        <v>6</v>
      </c>
    </row>
    <row r="172" spans="2:12" ht="27.75" thickBot="1" x14ac:dyDescent="0.35">
      <c r="B172" s="14" t="s">
        <v>171</v>
      </c>
      <c r="C172" s="7">
        <f>+VLOOKUP(B172,J172:$L$257,3,0)</f>
        <v>2</v>
      </c>
      <c r="D172" s="15" t="str">
        <f t="shared" si="4"/>
        <v>CS 2</v>
      </c>
      <c r="E172" s="1" t="s">
        <v>265</v>
      </c>
      <c r="F172" s="17" t="str">
        <f t="shared" si="5"/>
        <v>14/09/2013</v>
      </c>
      <c r="J172" s="5" t="s">
        <v>169</v>
      </c>
      <c r="K172" s="16">
        <v>41800</v>
      </c>
      <c r="L172" s="6">
        <v>5</v>
      </c>
    </row>
    <row r="173" spans="2:12" ht="19.5" thickBot="1" x14ac:dyDescent="0.35">
      <c r="B173" s="14" t="s">
        <v>172</v>
      </c>
      <c r="C173" s="7">
        <f>+VLOOKUP(B173,J173:$L$257,3,0)</f>
        <v>4</v>
      </c>
      <c r="D173" s="15" t="str">
        <f t="shared" si="4"/>
        <v>CS 4</v>
      </c>
      <c r="E173" s="1" t="s">
        <v>255</v>
      </c>
      <c r="F173" s="17" t="str">
        <f t="shared" si="5"/>
        <v>19/08/2016</v>
      </c>
      <c r="J173" s="5" t="s">
        <v>170</v>
      </c>
      <c r="K173" s="6" t="s">
        <v>360</v>
      </c>
      <c r="L173" s="6">
        <v>2</v>
      </c>
    </row>
    <row r="174" spans="2:12" ht="27.75" thickBot="1" x14ac:dyDescent="0.35">
      <c r="B174" s="14" t="s">
        <v>173</v>
      </c>
      <c r="C174" s="7">
        <f>+VLOOKUP(B174,J174:$L$257,3,0)</f>
        <v>1</v>
      </c>
      <c r="D174" s="15" t="str">
        <f t="shared" si="4"/>
        <v>CS 1</v>
      </c>
      <c r="E174" s="1" t="s">
        <v>265</v>
      </c>
      <c r="F174" s="17" t="str">
        <f t="shared" si="5"/>
        <v>26/05/2002</v>
      </c>
      <c r="J174" s="5" t="s">
        <v>171</v>
      </c>
      <c r="K174" s="6" t="s">
        <v>361</v>
      </c>
      <c r="L174" s="6">
        <v>2</v>
      </c>
    </row>
    <row r="175" spans="2:12" ht="19.5" thickBot="1" x14ac:dyDescent="0.35">
      <c r="B175" s="14" t="s">
        <v>174</v>
      </c>
      <c r="C175" s="7">
        <f>+VLOOKUP(B175,J175:$L$257,3,0)</f>
        <v>4</v>
      </c>
      <c r="D175" s="15" t="str">
        <f t="shared" si="4"/>
        <v>CS 4</v>
      </c>
      <c r="E175" s="1" t="s">
        <v>255</v>
      </c>
      <c r="F175" s="17">
        <f t="shared" si="5"/>
        <v>41280</v>
      </c>
      <c r="J175" s="5" t="s">
        <v>172</v>
      </c>
      <c r="K175" s="6" t="s">
        <v>362</v>
      </c>
      <c r="L175" s="6">
        <v>4</v>
      </c>
    </row>
    <row r="176" spans="2:12" ht="27.75" thickBot="1" x14ac:dyDescent="0.35">
      <c r="B176" s="14" t="s">
        <v>175</v>
      </c>
      <c r="C176" s="7">
        <f>+VLOOKUP(B176,J176:$L$257,3,0)</f>
        <v>6</v>
      </c>
      <c r="D176" s="15" t="str">
        <f t="shared" si="4"/>
        <v>CS 6</v>
      </c>
      <c r="E176" s="1" t="s">
        <v>265</v>
      </c>
      <c r="F176" s="17" t="str">
        <f t="shared" si="5"/>
        <v>20/02/2017</v>
      </c>
      <c r="J176" s="5" t="s">
        <v>173</v>
      </c>
      <c r="K176" s="6" t="s">
        <v>363</v>
      </c>
      <c r="L176" s="6">
        <v>1</v>
      </c>
    </row>
    <row r="177" spans="2:12" ht="19.5" thickBot="1" x14ac:dyDescent="0.35">
      <c r="B177" s="14" t="s">
        <v>41</v>
      </c>
      <c r="C177" s="7">
        <f>+VLOOKUP(B177,J177:$L$257,3,0)</f>
        <v>3</v>
      </c>
      <c r="D177" s="15" t="str">
        <f t="shared" si="4"/>
        <v>CS 3</v>
      </c>
      <c r="E177" s="1" t="s">
        <v>255</v>
      </c>
      <c r="F177" s="17" t="str">
        <f t="shared" si="5"/>
        <v>14/11/2017</v>
      </c>
      <c r="J177" s="5" t="s">
        <v>174</v>
      </c>
      <c r="K177" s="16">
        <v>41280</v>
      </c>
      <c r="L177" s="6">
        <v>4</v>
      </c>
    </row>
    <row r="178" spans="2:12" ht="27.75" thickBot="1" x14ac:dyDescent="0.35">
      <c r="B178" s="14" t="s">
        <v>176</v>
      </c>
      <c r="C178" s="7">
        <f>+VLOOKUP(B178,J178:$L$257,3,0)</f>
        <v>2</v>
      </c>
      <c r="D178" s="15" t="str">
        <f t="shared" si="4"/>
        <v>CS 2</v>
      </c>
      <c r="E178" s="1" t="s">
        <v>255</v>
      </c>
      <c r="F178" s="17" t="str">
        <f t="shared" si="5"/>
        <v>25/12/2013</v>
      </c>
      <c r="J178" s="5" t="s">
        <v>175</v>
      </c>
      <c r="K178" s="6" t="s">
        <v>364</v>
      </c>
      <c r="L178" s="6">
        <v>6</v>
      </c>
    </row>
    <row r="179" spans="2:12" ht="19.5" thickBot="1" x14ac:dyDescent="0.35">
      <c r="B179" s="14" t="s">
        <v>177</v>
      </c>
      <c r="C179" s="7">
        <f>+VLOOKUP(B179,J179:$L$257,3,0)</f>
        <v>5</v>
      </c>
      <c r="D179" s="15" t="str">
        <f t="shared" si="4"/>
        <v>CS 5</v>
      </c>
      <c r="E179" s="1" t="s">
        <v>255</v>
      </c>
      <c r="F179" s="17" t="str">
        <f t="shared" si="5"/>
        <v>29/11/2015</v>
      </c>
      <c r="J179" s="5" t="s">
        <v>41</v>
      </c>
      <c r="K179" s="6" t="s">
        <v>365</v>
      </c>
      <c r="L179" s="6">
        <v>3</v>
      </c>
    </row>
    <row r="180" spans="2:12" ht="27.75" thickBot="1" x14ac:dyDescent="0.35">
      <c r="B180" s="14" t="s">
        <v>178</v>
      </c>
      <c r="C180" s="7">
        <f>+VLOOKUP(B180,J180:$L$257,3,0)</f>
        <v>3</v>
      </c>
      <c r="D180" s="15" t="str">
        <f t="shared" si="4"/>
        <v>CS 3</v>
      </c>
      <c r="E180" s="1" t="s">
        <v>255</v>
      </c>
      <c r="F180" s="17" t="str">
        <f t="shared" si="5"/>
        <v>13/10/2017</v>
      </c>
      <c r="J180" s="5" t="s">
        <v>176</v>
      </c>
      <c r="K180" s="6" t="s">
        <v>366</v>
      </c>
      <c r="L180" s="6">
        <v>2</v>
      </c>
    </row>
    <row r="181" spans="2:12" ht="27.75" thickBot="1" x14ac:dyDescent="0.35">
      <c r="B181" s="14" t="s">
        <v>179</v>
      </c>
      <c r="C181" s="7">
        <f>+VLOOKUP(B181,J181:$L$257,3,0)</f>
        <v>1</v>
      </c>
      <c r="D181" s="15" t="str">
        <f t="shared" si="4"/>
        <v>CS 1</v>
      </c>
      <c r="E181" s="1" t="s">
        <v>255</v>
      </c>
      <c r="F181" s="17">
        <f t="shared" si="5"/>
        <v>42953</v>
      </c>
      <c r="J181" s="5" t="s">
        <v>177</v>
      </c>
      <c r="K181" s="6" t="s">
        <v>367</v>
      </c>
      <c r="L181" s="6">
        <v>5</v>
      </c>
    </row>
    <row r="182" spans="2:12" ht="19.5" thickBot="1" x14ac:dyDescent="0.35">
      <c r="B182" s="14" t="s">
        <v>180</v>
      </c>
      <c r="C182" s="7">
        <f>+VLOOKUP(B182,J182:$L$257,3,0)</f>
        <v>6</v>
      </c>
      <c r="D182" s="15" t="str">
        <f t="shared" si="4"/>
        <v>CS 6</v>
      </c>
      <c r="E182" s="1" t="s">
        <v>265</v>
      </c>
      <c r="F182" s="17" t="str">
        <f t="shared" si="5"/>
        <v>16/02/2018</v>
      </c>
      <c r="J182" s="5" t="s">
        <v>178</v>
      </c>
      <c r="K182" s="6" t="s">
        <v>368</v>
      </c>
      <c r="L182" s="6">
        <v>3</v>
      </c>
    </row>
    <row r="183" spans="2:12" ht="27.75" thickBot="1" x14ac:dyDescent="0.35">
      <c r="B183" s="14" t="s">
        <v>181</v>
      </c>
      <c r="C183" s="7">
        <f>+VLOOKUP(B183,J183:$L$257,3,0)</f>
        <v>5</v>
      </c>
      <c r="D183" s="15" t="str">
        <f t="shared" si="4"/>
        <v>CS 5</v>
      </c>
      <c r="E183" s="1" t="s">
        <v>265</v>
      </c>
      <c r="F183" s="17" t="str">
        <f t="shared" si="5"/>
        <v>15/11/2018</v>
      </c>
      <c r="J183" s="5" t="s">
        <v>179</v>
      </c>
      <c r="K183" s="16">
        <v>42953</v>
      </c>
      <c r="L183" s="6">
        <v>1</v>
      </c>
    </row>
    <row r="184" spans="2:12" ht="27.75" thickBot="1" x14ac:dyDescent="0.35">
      <c r="B184" s="14" t="s">
        <v>182</v>
      </c>
      <c r="C184" s="7">
        <f>+VLOOKUP(B184,J184:$L$257,3,0)</f>
        <v>2</v>
      </c>
      <c r="D184" s="15" t="str">
        <f t="shared" si="4"/>
        <v>CS 2</v>
      </c>
      <c r="E184" s="1" t="s">
        <v>255</v>
      </c>
      <c r="F184" s="17">
        <f t="shared" si="5"/>
        <v>43719</v>
      </c>
      <c r="J184" s="5" t="s">
        <v>180</v>
      </c>
      <c r="K184" s="6" t="s">
        <v>369</v>
      </c>
      <c r="L184" s="6">
        <v>6</v>
      </c>
    </row>
    <row r="185" spans="2:12" ht="27.75" thickBot="1" x14ac:dyDescent="0.35">
      <c r="B185" s="14" t="s">
        <v>183</v>
      </c>
      <c r="C185" s="7">
        <f>+VLOOKUP(B185,J185:$L$257,3,0)</f>
        <v>2</v>
      </c>
      <c r="D185" s="15" t="str">
        <f t="shared" si="4"/>
        <v>CS 2</v>
      </c>
      <c r="E185" s="1" t="s">
        <v>265</v>
      </c>
      <c r="F185" s="17" t="str">
        <f t="shared" si="5"/>
        <v>14/09/2015</v>
      </c>
      <c r="J185" s="5" t="s">
        <v>181</v>
      </c>
      <c r="K185" s="6" t="s">
        <v>370</v>
      </c>
      <c r="L185" s="6">
        <v>5</v>
      </c>
    </row>
    <row r="186" spans="2:12" ht="19.5" thickBot="1" x14ac:dyDescent="0.35">
      <c r="B186" s="14" t="s">
        <v>184</v>
      </c>
      <c r="C186" s="7">
        <f>+VLOOKUP(B186,J186:$L$257,3,0)</f>
        <v>1</v>
      </c>
      <c r="D186" s="15" t="str">
        <f t="shared" si="4"/>
        <v>CS 1</v>
      </c>
      <c r="E186" s="1" t="s">
        <v>265</v>
      </c>
      <c r="F186" s="17" t="str">
        <f t="shared" si="5"/>
        <v>16/07/2015</v>
      </c>
      <c r="J186" s="5" t="s">
        <v>182</v>
      </c>
      <c r="K186" s="16">
        <v>43719</v>
      </c>
      <c r="L186" s="6">
        <v>2</v>
      </c>
    </row>
    <row r="187" spans="2:12" ht="27.75" thickBot="1" x14ac:dyDescent="0.35">
      <c r="B187" s="14" t="s">
        <v>185</v>
      </c>
      <c r="C187" s="7">
        <f>+VLOOKUP(B187,J187:$L$257,3,0)</f>
        <v>5</v>
      </c>
      <c r="D187" s="15" t="str">
        <f t="shared" si="4"/>
        <v>CS 5</v>
      </c>
      <c r="E187" s="1" t="s">
        <v>255</v>
      </c>
      <c r="F187" s="17" t="str">
        <f t="shared" si="5"/>
        <v>30/01/2018</v>
      </c>
      <c r="J187" s="5" t="s">
        <v>183</v>
      </c>
      <c r="K187" s="6" t="s">
        <v>371</v>
      </c>
      <c r="L187" s="6">
        <v>2</v>
      </c>
    </row>
    <row r="188" spans="2:12" ht="27.75" thickBot="1" x14ac:dyDescent="0.35">
      <c r="B188" s="14" t="s">
        <v>186</v>
      </c>
      <c r="C188" s="7">
        <f>+VLOOKUP(B188,J188:$L$257,3,0)</f>
        <v>5</v>
      </c>
      <c r="D188" s="15" t="str">
        <f t="shared" si="4"/>
        <v>CS 5</v>
      </c>
      <c r="E188" s="1" t="s">
        <v>255</v>
      </c>
      <c r="F188" s="17" t="str">
        <f t="shared" si="5"/>
        <v>14/12/2019</v>
      </c>
      <c r="J188" s="5" t="s">
        <v>184</v>
      </c>
      <c r="K188" s="6" t="s">
        <v>372</v>
      </c>
      <c r="L188" s="6">
        <v>1</v>
      </c>
    </row>
    <row r="189" spans="2:12" ht="19.5" thickBot="1" x14ac:dyDescent="0.35">
      <c r="B189" s="14" t="s">
        <v>187</v>
      </c>
      <c r="C189" s="7">
        <f>+VLOOKUP(B189,J189:$L$257,3,0)</f>
        <v>3</v>
      </c>
      <c r="D189" s="15" t="str">
        <f t="shared" si="4"/>
        <v>CS 3</v>
      </c>
      <c r="E189" s="1" t="s">
        <v>255</v>
      </c>
      <c r="F189" s="17" t="str">
        <f t="shared" si="5"/>
        <v>17/01/2018</v>
      </c>
      <c r="J189" s="5" t="s">
        <v>185</v>
      </c>
      <c r="K189" s="6" t="s">
        <v>373</v>
      </c>
      <c r="L189" s="6">
        <v>5</v>
      </c>
    </row>
    <row r="190" spans="2:12" ht="19.5" thickBot="1" x14ac:dyDescent="0.35">
      <c r="B190" s="14" t="s">
        <v>188</v>
      </c>
      <c r="C190" s="7">
        <f>+VLOOKUP(B190,J190:$L$257,3,0)</f>
        <v>3</v>
      </c>
      <c r="D190" s="15" t="str">
        <f t="shared" si="4"/>
        <v>CS 3</v>
      </c>
      <c r="E190" s="1" t="s">
        <v>265</v>
      </c>
      <c r="F190" s="17">
        <f t="shared" si="5"/>
        <v>42746</v>
      </c>
      <c r="J190" s="5" t="s">
        <v>186</v>
      </c>
      <c r="K190" s="6" t="s">
        <v>374</v>
      </c>
      <c r="L190" s="6">
        <v>5</v>
      </c>
    </row>
    <row r="191" spans="2:12" ht="19.5" thickBot="1" x14ac:dyDescent="0.35">
      <c r="B191" s="14" t="s">
        <v>189</v>
      </c>
      <c r="C191" s="7">
        <f>+VLOOKUP(B191,J191:$L$257,3,0)</f>
        <v>2</v>
      </c>
      <c r="D191" s="15" t="str">
        <f t="shared" si="4"/>
        <v>CS 2</v>
      </c>
      <c r="E191" s="1" t="s">
        <v>265</v>
      </c>
      <c r="F191" s="17" t="str">
        <f t="shared" si="5"/>
        <v>16/12/2019</v>
      </c>
      <c r="J191" s="5" t="s">
        <v>187</v>
      </c>
      <c r="K191" s="6" t="s">
        <v>375</v>
      </c>
      <c r="L191" s="6">
        <v>3</v>
      </c>
    </row>
    <row r="192" spans="2:12" ht="27.75" thickBot="1" x14ac:dyDescent="0.35">
      <c r="B192" s="14" t="s">
        <v>190</v>
      </c>
      <c r="C192" s="7">
        <f>+VLOOKUP(B192,J192:$L$257,3,0)</f>
        <v>4</v>
      </c>
      <c r="D192" s="15" t="str">
        <f t="shared" si="4"/>
        <v>CS 4</v>
      </c>
      <c r="E192" s="1" t="s">
        <v>265</v>
      </c>
      <c r="F192" s="17">
        <f t="shared" si="5"/>
        <v>42737</v>
      </c>
      <c r="J192" s="5" t="s">
        <v>188</v>
      </c>
      <c r="K192" s="16">
        <v>42746</v>
      </c>
      <c r="L192" s="6">
        <v>3</v>
      </c>
    </row>
    <row r="193" spans="2:12" ht="27.75" thickBot="1" x14ac:dyDescent="0.35">
      <c r="B193" s="14" t="s">
        <v>191</v>
      </c>
      <c r="C193" s="7">
        <f>+VLOOKUP(B193,J193:$L$257,3,0)</f>
        <v>4</v>
      </c>
      <c r="D193" s="15" t="str">
        <f t="shared" si="4"/>
        <v>CS 4</v>
      </c>
      <c r="E193" s="1" t="s">
        <v>255</v>
      </c>
      <c r="F193" s="17" t="str">
        <f t="shared" si="5"/>
        <v>30/11/2019</v>
      </c>
      <c r="J193" s="5" t="s">
        <v>189</v>
      </c>
      <c r="K193" s="6" t="s">
        <v>376</v>
      </c>
      <c r="L193" s="6">
        <v>2</v>
      </c>
    </row>
    <row r="194" spans="2:12" ht="19.5" thickBot="1" x14ac:dyDescent="0.35">
      <c r="B194" s="14" t="s">
        <v>192</v>
      </c>
      <c r="C194" s="7">
        <f>+VLOOKUP(B194,J194:$L$257,3,0)</f>
        <v>1</v>
      </c>
      <c r="D194" s="15" t="str">
        <f t="shared" si="4"/>
        <v>CS 1</v>
      </c>
      <c r="E194" s="1" t="s">
        <v>265</v>
      </c>
      <c r="F194" s="17">
        <f t="shared" si="5"/>
        <v>42796</v>
      </c>
      <c r="J194" s="5" t="s">
        <v>190</v>
      </c>
      <c r="K194" s="16">
        <v>42737</v>
      </c>
      <c r="L194" s="6">
        <v>4</v>
      </c>
    </row>
    <row r="195" spans="2:12" ht="19.5" thickBot="1" x14ac:dyDescent="0.35">
      <c r="B195" s="14" t="s">
        <v>193</v>
      </c>
      <c r="C195" s="7">
        <f>+VLOOKUP(B195,J195:$L$257,3,0)</f>
        <v>6</v>
      </c>
      <c r="D195" s="15" t="str">
        <f t="shared" ref="D195:D257" si="6">+VLOOKUP(C195,$N$8:$O$14,2,0)</f>
        <v>CS 6</v>
      </c>
      <c r="E195" s="1" t="s">
        <v>255</v>
      </c>
      <c r="F195" s="17">
        <f t="shared" ref="F195:F257" si="7">+VLOOKUP(B195,$J$1:$K$259,2,0)</f>
        <v>42131</v>
      </c>
      <c r="J195" s="5" t="s">
        <v>191</v>
      </c>
      <c r="K195" s="6" t="s">
        <v>377</v>
      </c>
      <c r="L195" s="6">
        <v>4</v>
      </c>
    </row>
    <row r="196" spans="2:12" ht="27.75" thickBot="1" x14ac:dyDescent="0.35">
      <c r="B196" s="14" t="s">
        <v>194</v>
      </c>
      <c r="C196" s="7">
        <f>+VLOOKUP(B196,J196:$L$257,3,0)</f>
        <v>1</v>
      </c>
      <c r="D196" s="15" t="str">
        <f t="shared" si="6"/>
        <v>CS 1</v>
      </c>
      <c r="E196" s="1" t="s">
        <v>265</v>
      </c>
      <c r="F196" s="17" t="str">
        <f t="shared" si="7"/>
        <v>29/10/2002</v>
      </c>
      <c r="J196" s="5" t="s">
        <v>192</v>
      </c>
      <c r="K196" s="16">
        <v>42796</v>
      </c>
      <c r="L196" s="6">
        <v>1</v>
      </c>
    </row>
    <row r="197" spans="2:12" ht="19.5" thickBot="1" x14ac:dyDescent="0.35">
      <c r="B197" s="14" t="s">
        <v>195</v>
      </c>
      <c r="C197" s="7">
        <f>+VLOOKUP(B197,J197:$L$257,3,0)</f>
        <v>2</v>
      </c>
      <c r="D197" s="15" t="str">
        <f t="shared" si="6"/>
        <v>CS 2</v>
      </c>
      <c r="E197" s="1" t="s">
        <v>255</v>
      </c>
      <c r="F197" s="17" t="str">
        <f t="shared" si="7"/>
        <v>22/09/2006</v>
      </c>
      <c r="J197" s="5" t="s">
        <v>193</v>
      </c>
      <c r="K197" s="16">
        <v>42131</v>
      </c>
      <c r="L197" s="6">
        <v>6</v>
      </c>
    </row>
    <row r="198" spans="2:12" ht="27.75" thickBot="1" x14ac:dyDescent="0.35">
      <c r="B198" s="14" t="s">
        <v>196</v>
      </c>
      <c r="C198" s="7">
        <f>+VLOOKUP(B198,J198:$L$257,3,0)</f>
        <v>2</v>
      </c>
      <c r="D198" s="15" t="str">
        <f t="shared" si="6"/>
        <v>CS 2</v>
      </c>
      <c r="E198" s="1" t="s">
        <v>255</v>
      </c>
      <c r="F198" s="17">
        <f t="shared" si="7"/>
        <v>43983</v>
      </c>
      <c r="J198" s="5" t="s">
        <v>194</v>
      </c>
      <c r="K198" s="6" t="s">
        <v>378</v>
      </c>
      <c r="L198" s="6">
        <v>1</v>
      </c>
    </row>
    <row r="199" spans="2:12" ht="19.5" thickBot="1" x14ac:dyDescent="0.35">
      <c r="B199" s="14" t="s">
        <v>197</v>
      </c>
      <c r="C199" s="7">
        <f>+VLOOKUP(B199,J199:$L$257,3,0)</f>
        <v>5</v>
      </c>
      <c r="D199" s="15" t="str">
        <f t="shared" si="6"/>
        <v>CS 5</v>
      </c>
      <c r="E199" s="1" t="s">
        <v>255</v>
      </c>
      <c r="F199" s="17">
        <f t="shared" si="7"/>
        <v>40702</v>
      </c>
      <c r="J199" s="5" t="s">
        <v>195</v>
      </c>
      <c r="K199" s="6" t="s">
        <v>379</v>
      </c>
      <c r="L199" s="6">
        <v>2</v>
      </c>
    </row>
    <row r="200" spans="2:12" ht="27.75" thickBot="1" x14ac:dyDescent="0.35">
      <c r="B200" s="14" t="s">
        <v>198</v>
      </c>
      <c r="C200" s="7">
        <f>+VLOOKUP(B200,J200:$L$257,3,0)</f>
        <v>6</v>
      </c>
      <c r="D200" s="15" t="str">
        <f t="shared" si="6"/>
        <v>CS 6</v>
      </c>
      <c r="E200" s="1" t="s">
        <v>265</v>
      </c>
      <c r="F200" s="17" t="str">
        <f t="shared" si="7"/>
        <v>14/06/2016</v>
      </c>
      <c r="J200" s="5" t="s">
        <v>196</v>
      </c>
      <c r="K200" s="16">
        <v>43983</v>
      </c>
      <c r="L200" s="6">
        <v>2</v>
      </c>
    </row>
    <row r="201" spans="2:12" ht="27.75" thickBot="1" x14ac:dyDescent="0.35">
      <c r="B201" s="14" t="s">
        <v>199</v>
      </c>
      <c r="C201" s="7">
        <f>+VLOOKUP(B201,J201:$L$257,3,0)</f>
        <v>5</v>
      </c>
      <c r="D201" s="15" t="str">
        <f t="shared" si="6"/>
        <v>CS 5</v>
      </c>
      <c r="E201" s="1" t="s">
        <v>265</v>
      </c>
      <c r="F201" s="17">
        <f t="shared" si="7"/>
        <v>41221</v>
      </c>
      <c r="J201" s="5" t="s">
        <v>197</v>
      </c>
      <c r="K201" s="16">
        <v>40702</v>
      </c>
      <c r="L201" s="6">
        <v>5</v>
      </c>
    </row>
    <row r="202" spans="2:12" ht="19.5" thickBot="1" x14ac:dyDescent="0.35">
      <c r="B202" s="14" t="s">
        <v>200</v>
      </c>
      <c r="C202" s="7">
        <f>+VLOOKUP(B202,J202:$L$257,3,0)</f>
        <v>4</v>
      </c>
      <c r="D202" s="15" t="str">
        <f t="shared" si="6"/>
        <v>CS 4</v>
      </c>
      <c r="E202" s="1" t="s">
        <v>255</v>
      </c>
      <c r="F202" s="17" t="str">
        <f t="shared" si="7"/>
        <v>28/02/2019</v>
      </c>
      <c r="J202" s="5" t="s">
        <v>198</v>
      </c>
      <c r="K202" s="6" t="s">
        <v>380</v>
      </c>
      <c r="L202" s="6">
        <v>6</v>
      </c>
    </row>
    <row r="203" spans="2:12" ht="19.5" thickBot="1" x14ac:dyDescent="0.35">
      <c r="B203" s="14" t="s">
        <v>201</v>
      </c>
      <c r="C203" s="7">
        <f>+VLOOKUP(B203,J203:$L$257,3,0)</f>
        <v>5</v>
      </c>
      <c r="D203" s="15" t="str">
        <f t="shared" si="6"/>
        <v>CS 5</v>
      </c>
      <c r="E203" s="1" t="s">
        <v>255</v>
      </c>
      <c r="F203" s="17">
        <f t="shared" si="7"/>
        <v>43256</v>
      </c>
      <c r="J203" s="5" t="s">
        <v>199</v>
      </c>
      <c r="K203" s="16">
        <v>41221</v>
      </c>
      <c r="L203" s="6">
        <v>5</v>
      </c>
    </row>
    <row r="204" spans="2:12" ht="27.75" thickBot="1" x14ac:dyDescent="0.35">
      <c r="B204" s="14" t="s">
        <v>202</v>
      </c>
      <c r="C204" s="7">
        <f>+VLOOKUP(B204,J204:$L$257,3,0)</f>
        <v>5</v>
      </c>
      <c r="D204" s="15" t="str">
        <f t="shared" si="6"/>
        <v>CS 5</v>
      </c>
      <c r="E204" s="1" t="s">
        <v>265</v>
      </c>
      <c r="F204" s="17" t="str">
        <f t="shared" si="7"/>
        <v>22/04/2016</v>
      </c>
      <c r="J204" s="5" t="s">
        <v>200</v>
      </c>
      <c r="K204" s="6" t="s">
        <v>381</v>
      </c>
      <c r="L204" s="6">
        <v>4</v>
      </c>
    </row>
    <row r="205" spans="2:12" ht="19.5" thickBot="1" x14ac:dyDescent="0.35">
      <c r="B205" s="14" t="s">
        <v>203</v>
      </c>
      <c r="C205" s="7">
        <f>+VLOOKUP(B205,J205:$L$257,3,0)</f>
        <v>2</v>
      </c>
      <c r="D205" s="15" t="str">
        <f t="shared" si="6"/>
        <v>CS 2</v>
      </c>
      <c r="E205" s="1" t="s">
        <v>265</v>
      </c>
      <c r="F205" s="17" t="str">
        <f t="shared" si="7"/>
        <v>29/05/2003</v>
      </c>
      <c r="J205" s="5" t="s">
        <v>201</v>
      </c>
      <c r="K205" s="16">
        <v>43256</v>
      </c>
      <c r="L205" s="6">
        <v>5</v>
      </c>
    </row>
    <row r="206" spans="2:12" ht="19.5" thickBot="1" x14ac:dyDescent="0.35">
      <c r="B206" s="14" t="s">
        <v>204</v>
      </c>
      <c r="C206" s="7">
        <f>+VLOOKUP(B206,J206:$L$257,3,0)</f>
        <v>6</v>
      </c>
      <c r="D206" s="15" t="str">
        <f t="shared" si="6"/>
        <v>CS 6</v>
      </c>
      <c r="E206" s="1" t="s">
        <v>255</v>
      </c>
      <c r="F206" s="17" t="str">
        <f t="shared" si="7"/>
        <v>21/10/2016</v>
      </c>
      <c r="J206" s="5" t="s">
        <v>202</v>
      </c>
      <c r="K206" s="6" t="s">
        <v>382</v>
      </c>
      <c r="L206" s="6">
        <v>5</v>
      </c>
    </row>
    <row r="207" spans="2:12" ht="19.5" thickBot="1" x14ac:dyDescent="0.35">
      <c r="B207" s="14" t="s">
        <v>205</v>
      </c>
      <c r="C207" s="7">
        <f>+VLOOKUP(B207,J207:$L$257,3,0)</f>
        <v>6</v>
      </c>
      <c r="D207" s="15" t="str">
        <f t="shared" si="6"/>
        <v>CS 6</v>
      </c>
      <c r="E207" s="1" t="s">
        <v>255</v>
      </c>
      <c r="F207" s="17" t="str">
        <f t="shared" si="7"/>
        <v>21/10/2016</v>
      </c>
      <c r="J207" s="5" t="s">
        <v>203</v>
      </c>
      <c r="K207" s="6" t="s">
        <v>383</v>
      </c>
      <c r="L207" s="6">
        <v>2</v>
      </c>
    </row>
    <row r="208" spans="2:12" ht="19.5" thickBot="1" x14ac:dyDescent="0.35">
      <c r="B208" s="14" t="s">
        <v>206</v>
      </c>
      <c r="C208" s="7">
        <f>+VLOOKUP(B208,J208:$L$257,3,0)</f>
        <v>2</v>
      </c>
      <c r="D208" s="15" t="str">
        <f t="shared" si="6"/>
        <v>CS 2</v>
      </c>
      <c r="E208" s="1" t="s">
        <v>255</v>
      </c>
      <c r="F208" s="17">
        <f t="shared" si="7"/>
        <v>41982</v>
      </c>
      <c r="J208" s="5" t="s">
        <v>204</v>
      </c>
      <c r="K208" s="6" t="s">
        <v>384</v>
      </c>
      <c r="L208" s="6">
        <v>6</v>
      </c>
    </row>
    <row r="209" spans="2:12" ht="19.5" thickBot="1" x14ac:dyDescent="0.35">
      <c r="B209" s="14" t="s">
        <v>207</v>
      </c>
      <c r="C209" s="7">
        <f>+VLOOKUP(B209,J209:$L$257,3,0)</f>
        <v>2</v>
      </c>
      <c r="D209" s="15" t="str">
        <f t="shared" si="6"/>
        <v>CS 2</v>
      </c>
      <c r="E209" s="1" t="s">
        <v>265</v>
      </c>
      <c r="F209" s="17">
        <f t="shared" si="7"/>
        <v>40181</v>
      </c>
      <c r="J209" s="5" t="s">
        <v>205</v>
      </c>
      <c r="K209" s="6" t="s">
        <v>384</v>
      </c>
      <c r="L209" s="6">
        <v>6</v>
      </c>
    </row>
    <row r="210" spans="2:12" ht="27.75" thickBot="1" x14ac:dyDescent="0.35">
      <c r="B210" s="14" t="s">
        <v>208</v>
      </c>
      <c r="C210" s="7">
        <f>+VLOOKUP(B210,J210:$L$257,3,0)</f>
        <v>6</v>
      </c>
      <c r="D210" s="15" t="str">
        <f t="shared" si="6"/>
        <v>CS 6</v>
      </c>
      <c r="E210" s="1" t="s">
        <v>255</v>
      </c>
      <c r="F210" s="17" t="str">
        <f t="shared" si="7"/>
        <v>28/10/2017</v>
      </c>
      <c r="J210" s="5" t="s">
        <v>206</v>
      </c>
      <c r="K210" s="16">
        <v>41982</v>
      </c>
      <c r="L210" s="6">
        <v>2</v>
      </c>
    </row>
    <row r="211" spans="2:12" ht="27.75" thickBot="1" x14ac:dyDescent="0.35">
      <c r="B211" s="14" t="s">
        <v>209</v>
      </c>
      <c r="C211" s="7">
        <f>+VLOOKUP(B211,J211:$L$257,3,0)</f>
        <v>6</v>
      </c>
      <c r="D211" s="15" t="str">
        <f t="shared" si="6"/>
        <v>CS 6</v>
      </c>
      <c r="E211" s="1" t="s">
        <v>255</v>
      </c>
      <c r="F211" s="17">
        <f t="shared" si="7"/>
        <v>43593</v>
      </c>
      <c r="J211" s="5" t="s">
        <v>207</v>
      </c>
      <c r="K211" s="16">
        <v>40181</v>
      </c>
      <c r="L211" s="6">
        <v>2</v>
      </c>
    </row>
    <row r="212" spans="2:12" ht="27.75" thickBot="1" x14ac:dyDescent="0.35">
      <c r="B212" s="14" t="s">
        <v>210</v>
      </c>
      <c r="C212" s="7">
        <f>+VLOOKUP(B212,J212:$L$257,3,0)</f>
        <v>1</v>
      </c>
      <c r="D212" s="15" t="str">
        <f t="shared" si="6"/>
        <v>CS 1</v>
      </c>
      <c r="E212" s="1" t="s">
        <v>255</v>
      </c>
      <c r="F212" s="17" t="str">
        <f t="shared" si="7"/>
        <v>14/01/2016</v>
      </c>
      <c r="J212" s="5" t="s">
        <v>208</v>
      </c>
      <c r="K212" s="6" t="s">
        <v>385</v>
      </c>
      <c r="L212" s="6">
        <v>6</v>
      </c>
    </row>
    <row r="213" spans="2:12" ht="27.75" thickBot="1" x14ac:dyDescent="0.35">
      <c r="B213" s="14" t="s">
        <v>211</v>
      </c>
      <c r="C213" s="7">
        <f>+VLOOKUP(B213,J213:$L$257,3,0)</f>
        <v>2</v>
      </c>
      <c r="D213" s="15" t="str">
        <f t="shared" si="6"/>
        <v>CS 2</v>
      </c>
      <c r="E213" s="1" t="s">
        <v>255</v>
      </c>
      <c r="F213" s="17">
        <f t="shared" si="7"/>
        <v>40918</v>
      </c>
      <c r="J213" s="5" t="s">
        <v>209</v>
      </c>
      <c r="K213" s="16">
        <v>43593</v>
      </c>
      <c r="L213" s="6">
        <v>6</v>
      </c>
    </row>
    <row r="214" spans="2:12" ht="19.5" thickBot="1" x14ac:dyDescent="0.35">
      <c r="B214" s="14" t="s">
        <v>212</v>
      </c>
      <c r="C214" s="7">
        <f>+VLOOKUP(B214,J214:$L$257,3,0)</f>
        <v>2</v>
      </c>
      <c r="D214" s="15" t="str">
        <f t="shared" si="6"/>
        <v>CS 2</v>
      </c>
      <c r="E214" s="1" t="s">
        <v>265</v>
      </c>
      <c r="F214" s="17" t="str">
        <f t="shared" si="7"/>
        <v>26/03/2012</v>
      </c>
      <c r="J214" s="5" t="s">
        <v>210</v>
      </c>
      <c r="K214" s="6" t="s">
        <v>386</v>
      </c>
      <c r="L214" s="6">
        <v>1</v>
      </c>
    </row>
    <row r="215" spans="2:12" ht="19.5" thickBot="1" x14ac:dyDescent="0.35">
      <c r="B215" s="14" t="s">
        <v>213</v>
      </c>
      <c r="C215" s="7">
        <f>+VLOOKUP(B215,J215:$L$257,3,0)</f>
        <v>5</v>
      </c>
      <c r="D215" s="15" t="str">
        <f t="shared" si="6"/>
        <v>CS 5</v>
      </c>
      <c r="E215" s="1" t="s">
        <v>265</v>
      </c>
      <c r="F215" s="17" t="str">
        <f t="shared" si="7"/>
        <v>24/03/2014</v>
      </c>
      <c r="J215" s="5" t="s">
        <v>211</v>
      </c>
      <c r="K215" s="16">
        <v>40918</v>
      </c>
      <c r="L215" s="6">
        <v>2</v>
      </c>
    </row>
    <row r="216" spans="2:12" ht="19.5" thickBot="1" x14ac:dyDescent="0.35">
      <c r="B216" s="14" t="s">
        <v>214</v>
      </c>
      <c r="C216" s="7">
        <f>+VLOOKUP(B216,J216:$L$257,3,0)</f>
        <v>4</v>
      </c>
      <c r="D216" s="15" t="str">
        <f t="shared" si="6"/>
        <v>CS 4</v>
      </c>
      <c r="E216" s="1" t="s">
        <v>255</v>
      </c>
      <c r="F216" s="17" t="str">
        <f t="shared" si="7"/>
        <v>20/11/2018</v>
      </c>
      <c r="J216" s="5" t="s">
        <v>212</v>
      </c>
      <c r="K216" s="6" t="s">
        <v>387</v>
      </c>
      <c r="L216" s="6">
        <v>2</v>
      </c>
    </row>
    <row r="217" spans="2:12" ht="19.5" thickBot="1" x14ac:dyDescent="0.35">
      <c r="B217" s="14" t="s">
        <v>215</v>
      </c>
      <c r="C217" s="7">
        <f>+VLOOKUP(B217,J217:$L$257,3,0)</f>
        <v>5</v>
      </c>
      <c r="D217" s="15" t="str">
        <f t="shared" si="6"/>
        <v>CS 5</v>
      </c>
      <c r="E217" s="1" t="s">
        <v>255</v>
      </c>
      <c r="F217" s="17">
        <f t="shared" si="7"/>
        <v>42925</v>
      </c>
      <c r="J217" s="5" t="s">
        <v>213</v>
      </c>
      <c r="K217" s="6" t="s">
        <v>388</v>
      </c>
      <c r="L217" s="6">
        <v>5</v>
      </c>
    </row>
    <row r="218" spans="2:12" ht="19.5" thickBot="1" x14ac:dyDescent="0.35">
      <c r="B218" s="14" t="s">
        <v>216</v>
      </c>
      <c r="C218" s="7">
        <f>+VLOOKUP(B218,J218:$L$257,3,0)</f>
        <v>2</v>
      </c>
      <c r="D218" s="15" t="str">
        <f t="shared" si="6"/>
        <v>CS 2</v>
      </c>
      <c r="E218" s="1" t="s">
        <v>255</v>
      </c>
      <c r="F218" s="17" t="str">
        <f t="shared" si="7"/>
        <v>27/04/2004</v>
      </c>
      <c r="J218" s="5" t="s">
        <v>214</v>
      </c>
      <c r="K218" s="6" t="s">
        <v>389</v>
      </c>
      <c r="L218" s="6">
        <v>4</v>
      </c>
    </row>
    <row r="219" spans="2:12" ht="19.5" thickBot="1" x14ac:dyDescent="0.35">
      <c r="B219" s="14" t="s">
        <v>217</v>
      </c>
      <c r="C219" s="7">
        <f>+VLOOKUP(B219,J219:$L$257,3,0)</f>
        <v>2</v>
      </c>
      <c r="D219" s="15" t="str">
        <f t="shared" si="6"/>
        <v>CS 2</v>
      </c>
      <c r="E219" s="1" t="s">
        <v>255</v>
      </c>
      <c r="F219" s="17" t="str">
        <f t="shared" si="7"/>
        <v>22/06/2017</v>
      </c>
      <c r="J219" s="5" t="s">
        <v>215</v>
      </c>
      <c r="K219" s="16">
        <v>42925</v>
      </c>
      <c r="L219" s="6">
        <v>5</v>
      </c>
    </row>
    <row r="220" spans="2:12" ht="27.75" thickBot="1" x14ac:dyDescent="0.35">
      <c r="B220" s="14" t="s">
        <v>218</v>
      </c>
      <c r="C220" s="7">
        <f>+VLOOKUP(B220,J220:$L$257,3,0)</f>
        <v>2</v>
      </c>
      <c r="D220" s="15" t="str">
        <f t="shared" si="6"/>
        <v>CS 2</v>
      </c>
      <c r="E220" s="1" t="s">
        <v>265</v>
      </c>
      <c r="F220" s="17" t="str">
        <f t="shared" si="7"/>
        <v>13/11/2005</v>
      </c>
      <c r="J220" s="5" t="s">
        <v>216</v>
      </c>
      <c r="K220" s="6" t="s">
        <v>390</v>
      </c>
      <c r="L220" s="6">
        <v>2</v>
      </c>
    </row>
    <row r="221" spans="2:12" ht="19.5" thickBot="1" x14ac:dyDescent="0.35">
      <c r="B221" s="14" t="s">
        <v>219</v>
      </c>
      <c r="C221" s="7">
        <f>+VLOOKUP(B221,J221:$L$257,3,0)</f>
        <v>2</v>
      </c>
      <c r="D221" s="15" t="str">
        <f t="shared" si="6"/>
        <v>CS 2</v>
      </c>
      <c r="E221" s="1" t="s">
        <v>255</v>
      </c>
      <c r="F221" s="17" t="str">
        <f t="shared" si="7"/>
        <v>19/09/2014</v>
      </c>
      <c r="J221" s="5" t="s">
        <v>217</v>
      </c>
      <c r="K221" s="6" t="s">
        <v>391</v>
      </c>
      <c r="L221" s="6">
        <v>2</v>
      </c>
    </row>
    <row r="222" spans="2:12" ht="19.5" thickBot="1" x14ac:dyDescent="0.35">
      <c r="B222" s="14" t="s">
        <v>220</v>
      </c>
      <c r="C222" s="7">
        <f>+VLOOKUP(B222,J222:$L$257,3,0)</f>
        <v>2</v>
      </c>
      <c r="D222" s="15" t="str">
        <f t="shared" si="6"/>
        <v>CS 2</v>
      </c>
      <c r="E222" s="1" t="s">
        <v>255</v>
      </c>
      <c r="F222" s="17">
        <f t="shared" si="7"/>
        <v>36779</v>
      </c>
      <c r="J222" s="5" t="s">
        <v>218</v>
      </c>
      <c r="K222" s="6" t="s">
        <v>392</v>
      </c>
      <c r="L222" s="6">
        <v>2</v>
      </c>
    </row>
    <row r="223" spans="2:12" ht="27.75" thickBot="1" x14ac:dyDescent="0.35">
      <c r="B223" s="14" t="s">
        <v>221</v>
      </c>
      <c r="C223" s="7">
        <f>+VLOOKUP(B223,J223:$L$257,3,0)</f>
        <v>3</v>
      </c>
      <c r="D223" s="15" t="str">
        <f t="shared" si="6"/>
        <v>CS 3</v>
      </c>
      <c r="E223" s="1" t="s">
        <v>255</v>
      </c>
      <c r="F223" s="17" t="str">
        <f t="shared" si="7"/>
        <v>25/01/2015</v>
      </c>
      <c r="J223" s="5" t="s">
        <v>219</v>
      </c>
      <c r="K223" s="6" t="s">
        <v>393</v>
      </c>
      <c r="L223" s="6">
        <v>2</v>
      </c>
    </row>
    <row r="224" spans="2:12" ht="27.75" thickBot="1" x14ac:dyDescent="0.35">
      <c r="B224" s="14" t="s">
        <v>222</v>
      </c>
      <c r="C224" s="7">
        <f>+VLOOKUP(B224,J224:$L$257,3,0)</f>
        <v>3</v>
      </c>
      <c r="D224" s="15" t="str">
        <f t="shared" si="6"/>
        <v>CS 3</v>
      </c>
      <c r="E224" s="1" t="s">
        <v>265</v>
      </c>
      <c r="F224" s="17" t="str">
        <f t="shared" si="7"/>
        <v>13/09/2020</v>
      </c>
      <c r="J224" s="5" t="s">
        <v>220</v>
      </c>
      <c r="K224" s="16">
        <v>36779</v>
      </c>
      <c r="L224" s="6">
        <v>2</v>
      </c>
    </row>
    <row r="225" spans="2:12" ht="27.75" thickBot="1" x14ac:dyDescent="0.35">
      <c r="B225" s="14" t="s">
        <v>223</v>
      </c>
      <c r="C225" s="7">
        <f>+VLOOKUP(B225,J225:$L$257,3,0)</f>
        <v>6</v>
      </c>
      <c r="D225" s="15" t="str">
        <f t="shared" si="6"/>
        <v>CS 6</v>
      </c>
      <c r="E225" s="1" t="s">
        <v>265</v>
      </c>
      <c r="F225" s="17">
        <f t="shared" si="7"/>
        <v>42682</v>
      </c>
      <c r="J225" s="5" t="s">
        <v>221</v>
      </c>
      <c r="K225" s="6" t="s">
        <v>394</v>
      </c>
      <c r="L225" s="6">
        <v>3</v>
      </c>
    </row>
    <row r="226" spans="2:12" ht="27.75" thickBot="1" x14ac:dyDescent="0.35">
      <c r="B226" s="14" t="s">
        <v>211</v>
      </c>
      <c r="C226" s="7">
        <f>+VLOOKUP(B226,J226:$L$257,3,0)</f>
        <v>1</v>
      </c>
      <c r="D226" s="15" t="str">
        <f t="shared" si="6"/>
        <v>CS 1</v>
      </c>
      <c r="E226" s="1" t="s">
        <v>255</v>
      </c>
      <c r="F226" s="17">
        <f t="shared" si="7"/>
        <v>40918</v>
      </c>
      <c r="J226" s="5" t="s">
        <v>222</v>
      </c>
      <c r="K226" s="6" t="s">
        <v>395</v>
      </c>
      <c r="L226" s="6">
        <v>3</v>
      </c>
    </row>
    <row r="227" spans="2:12" ht="19.5" thickBot="1" x14ac:dyDescent="0.35">
      <c r="B227" s="14" t="s">
        <v>224</v>
      </c>
      <c r="C227" s="7">
        <f>+VLOOKUP(B227,J227:$L$257,3,0)</f>
        <v>2</v>
      </c>
      <c r="D227" s="15" t="str">
        <f t="shared" si="6"/>
        <v>CS 2</v>
      </c>
      <c r="E227" s="1" t="s">
        <v>265</v>
      </c>
      <c r="F227" s="17" t="str">
        <f t="shared" si="7"/>
        <v>24/10/2003</v>
      </c>
      <c r="J227" s="5" t="s">
        <v>223</v>
      </c>
      <c r="K227" s="16">
        <v>42682</v>
      </c>
      <c r="L227" s="6">
        <v>6</v>
      </c>
    </row>
    <row r="228" spans="2:12" ht="19.5" thickBot="1" x14ac:dyDescent="0.35">
      <c r="B228" s="14" t="s">
        <v>225</v>
      </c>
      <c r="C228" s="7">
        <f>+VLOOKUP(B228,J228:$L$257,3,0)</f>
        <v>2</v>
      </c>
      <c r="D228" s="15" t="str">
        <f t="shared" si="6"/>
        <v>CS 2</v>
      </c>
      <c r="E228" s="1" t="s">
        <v>265</v>
      </c>
      <c r="F228" s="17" t="str">
        <f t="shared" si="7"/>
        <v>22/08/2007</v>
      </c>
      <c r="J228" s="5" t="s">
        <v>211</v>
      </c>
      <c r="K228" s="6" t="s">
        <v>396</v>
      </c>
      <c r="L228" s="6">
        <v>1</v>
      </c>
    </row>
    <row r="229" spans="2:12" ht="27.75" thickBot="1" x14ac:dyDescent="0.35">
      <c r="B229" s="14" t="s">
        <v>226</v>
      </c>
      <c r="C229" s="7">
        <f>+VLOOKUP(B229,J229:$L$257,3,0)</f>
        <v>5</v>
      </c>
      <c r="D229" s="15" t="str">
        <f t="shared" si="6"/>
        <v>CS 5</v>
      </c>
      <c r="E229" s="1" t="s">
        <v>255</v>
      </c>
      <c r="F229" s="17">
        <f t="shared" si="7"/>
        <v>43110</v>
      </c>
      <c r="J229" s="5" t="s">
        <v>224</v>
      </c>
      <c r="K229" s="6" t="s">
        <v>397</v>
      </c>
      <c r="L229" s="6">
        <v>2</v>
      </c>
    </row>
    <row r="230" spans="2:12" ht="27.75" thickBot="1" x14ac:dyDescent="0.35">
      <c r="B230" s="14" t="s">
        <v>227</v>
      </c>
      <c r="C230" s="7">
        <f>+VLOOKUP(B230,J230:$L$257,3,0)</f>
        <v>3</v>
      </c>
      <c r="D230" s="15" t="str">
        <f t="shared" si="6"/>
        <v>CS 3</v>
      </c>
      <c r="E230" s="1" t="s">
        <v>265</v>
      </c>
      <c r="F230" s="17" t="str">
        <f t="shared" si="7"/>
        <v>15/05/2013</v>
      </c>
      <c r="J230" s="5" t="s">
        <v>225</v>
      </c>
      <c r="K230" s="6" t="s">
        <v>398</v>
      </c>
      <c r="L230" s="6">
        <v>2</v>
      </c>
    </row>
    <row r="231" spans="2:12" ht="19.5" thickBot="1" x14ac:dyDescent="0.35">
      <c r="B231" s="14" t="s">
        <v>228</v>
      </c>
      <c r="C231" s="7">
        <f>+VLOOKUP(B231,J231:$L$257,3,0)</f>
        <v>2</v>
      </c>
      <c r="D231" s="15" t="str">
        <f t="shared" si="6"/>
        <v>CS 2</v>
      </c>
      <c r="E231" s="1" t="s">
        <v>265</v>
      </c>
      <c r="F231" s="17" t="str">
        <f t="shared" si="7"/>
        <v>17/07/2013</v>
      </c>
      <c r="J231" s="5" t="s">
        <v>226</v>
      </c>
      <c r="K231" s="16">
        <v>43110</v>
      </c>
      <c r="L231" s="6">
        <v>5</v>
      </c>
    </row>
    <row r="232" spans="2:12" ht="19.5" thickBot="1" x14ac:dyDescent="0.35">
      <c r="B232" s="14" t="s">
        <v>229</v>
      </c>
      <c r="C232" s="7">
        <f>+VLOOKUP(B232,J232:$L$257,3,0)</f>
        <v>2</v>
      </c>
      <c r="D232" s="15" t="str">
        <f t="shared" si="6"/>
        <v>CS 2</v>
      </c>
      <c r="E232" s="1" t="s">
        <v>255</v>
      </c>
      <c r="F232" s="17" t="str">
        <f t="shared" si="7"/>
        <v>13/07/2017</v>
      </c>
      <c r="J232" s="5" t="s">
        <v>227</v>
      </c>
      <c r="K232" s="6" t="s">
        <v>399</v>
      </c>
      <c r="L232" s="6">
        <v>3</v>
      </c>
    </row>
    <row r="233" spans="2:12" ht="27.75" thickBot="1" x14ac:dyDescent="0.35">
      <c r="B233" s="14" t="s">
        <v>230</v>
      </c>
      <c r="C233" s="7">
        <f>+VLOOKUP(B233,J233:$L$257,3,0)</f>
        <v>2</v>
      </c>
      <c r="D233" s="15" t="str">
        <f t="shared" si="6"/>
        <v>CS 2</v>
      </c>
      <c r="E233" s="1" t="s">
        <v>255</v>
      </c>
      <c r="F233" s="17" t="str">
        <f t="shared" si="7"/>
        <v>13/02/2017</v>
      </c>
      <c r="J233" s="5" t="s">
        <v>228</v>
      </c>
      <c r="K233" s="6" t="s">
        <v>400</v>
      </c>
      <c r="L233" s="6">
        <v>2</v>
      </c>
    </row>
    <row r="234" spans="2:12" ht="19.5" thickBot="1" x14ac:dyDescent="0.35">
      <c r="B234" s="14" t="s">
        <v>231</v>
      </c>
      <c r="C234" s="7">
        <f>+VLOOKUP(B234,J234:$L$257,3,0)</f>
        <v>5</v>
      </c>
      <c r="D234" s="15" t="str">
        <f t="shared" si="6"/>
        <v>CS 5</v>
      </c>
      <c r="E234" s="1" t="s">
        <v>265</v>
      </c>
      <c r="F234" s="17" t="str">
        <f t="shared" si="7"/>
        <v>28/05/2017</v>
      </c>
      <c r="J234" s="5" t="s">
        <v>229</v>
      </c>
      <c r="K234" s="6" t="s">
        <v>401</v>
      </c>
      <c r="L234" s="6">
        <v>2</v>
      </c>
    </row>
    <row r="235" spans="2:12" ht="27.75" thickBot="1" x14ac:dyDescent="0.35">
      <c r="B235" s="14" t="s">
        <v>232</v>
      </c>
      <c r="C235" s="7">
        <f>+VLOOKUP(B235,J235:$L$257,3,0)</f>
        <v>5</v>
      </c>
      <c r="D235" s="15" t="str">
        <f t="shared" si="6"/>
        <v>CS 5</v>
      </c>
      <c r="E235" s="1" t="s">
        <v>255</v>
      </c>
      <c r="F235" s="17">
        <f t="shared" si="7"/>
        <v>42464</v>
      </c>
      <c r="J235" s="5" t="s">
        <v>230</v>
      </c>
      <c r="K235" s="6" t="s">
        <v>402</v>
      </c>
      <c r="L235" s="6">
        <v>2</v>
      </c>
    </row>
    <row r="236" spans="2:12" ht="27.75" thickBot="1" x14ac:dyDescent="0.35">
      <c r="B236" s="14" t="s">
        <v>233</v>
      </c>
      <c r="C236" s="7">
        <f>+VLOOKUP(B236,J236:$L$257,3,0)</f>
        <v>6</v>
      </c>
      <c r="D236" s="15" t="str">
        <f t="shared" si="6"/>
        <v>CS 6</v>
      </c>
      <c r="E236" s="1" t="s">
        <v>255</v>
      </c>
      <c r="F236" s="17">
        <f t="shared" si="7"/>
        <v>42684</v>
      </c>
      <c r="J236" s="5" t="s">
        <v>231</v>
      </c>
      <c r="K236" s="6" t="s">
        <v>403</v>
      </c>
      <c r="L236" s="6">
        <v>5</v>
      </c>
    </row>
    <row r="237" spans="2:12" ht="19.5" thickBot="1" x14ac:dyDescent="0.35">
      <c r="B237" s="14" t="s">
        <v>234</v>
      </c>
      <c r="C237" s="7">
        <f>+VLOOKUP(B237,J237:$L$257,3,0)</f>
        <v>2</v>
      </c>
      <c r="D237" s="15" t="str">
        <f t="shared" si="6"/>
        <v>CS 2</v>
      </c>
      <c r="E237" s="1" t="s">
        <v>265</v>
      </c>
      <c r="F237" s="17" t="str">
        <f t="shared" si="7"/>
        <v>19/07/2007</v>
      </c>
      <c r="J237" s="5" t="s">
        <v>232</v>
      </c>
      <c r="K237" s="16">
        <v>42464</v>
      </c>
      <c r="L237" s="6">
        <v>5</v>
      </c>
    </row>
    <row r="238" spans="2:12" ht="27.75" thickBot="1" x14ac:dyDescent="0.35">
      <c r="B238" s="14" t="s">
        <v>235</v>
      </c>
      <c r="C238" s="7">
        <f>+VLOOKUP(B238,J238:$L$257,3,0)</f>
        <v>2</v>
      </c>
      <c r="D238" s="15" t="str">
        <f t="shared" si="6"/>
        <v>CS 2</v>
      </c>
      <c r="E238" s="1" t="s">
        <v>255</v>
      </c>
      <c r="F238" s="17" t="str">
        <f t="shared" si="7"/>
        <v>17/05/2012</v>
      </c>
      <c r="J238" s="5" t="s">
        <v>233</v>
      </c>
      <c r="K238" s="16">
        <v>42684</v>
      </c>
      <c r="L238" s="6">
        <v>6</v>
      </c>
    </row>
    <row r="239" spans="2:12" ht="19.5" thickBot="1" x14ac:dyDescent="0.35">
      <c r="B239" s="14" t="s">
        <v>236</v>
      </c>
      <c r="C239" s="7">
        <f>+VLOOKUP(B239,J239:$L$257,3,0)</f>
        <v>2</v>
      </c>
      <c r="D239" s="15" t="str">
        <f t="shared" si="6"/>
        <v>CS 2</v>
      </c>
      <c r="E239" s="1" t="s">
        <v>255</v>
      </c>
      <c r="F239" s="17" t="str">
        <f t="shared" si="7"/>
        <v>17/05/2012</v>
      </c>
      <c r="J239" s="5" t="s">
        <v>234</v>
      </c>
      <c r="K239" s="6" t="s">
        <v>404</v>
      </c>
      <c r="L239" s="6">
        <v>2</v>
      </c>
    </row>
    <row r="240" spans="2:12" ht="27.75" thickBot="1" x14ac:dyDescent="0.35">
      <c r="B240" s="14" t="s">
        <v>237</v>
      </c>
      <c r="C240" s="7">
        <f>+VLOOKUP(B240,J240:$L$257,3,0)</f>
        <v>2</v>
      </c>
      <c r="D240" s="15" t="str">
        <f t="shared" si="6"/>
        <v>CS 2</v>
      </c>
      <c r="E240" s="1" t="s">
        <v>265</v>
      </c>
      <c r="F240" s="17" t="str">
        <f t="shared" si="7"/>
        <v>16/08/2003</v>
      </c>
      <c r="J240" s="5" t="s">
        <v>235</v>
      </c>
      <c r="K240" s="6" t="s">
        <v>405</v>
      </c>
      <c r="L240" s="6">
        <v>2</v>
      </c>
    </row>
    <row r="241" spans="2:12" ht="27.75" thickBot="1" x14ac:dyDescent="0.35">
      <c r="B241" s="14" t="s">
        <v>238</v>
      </c>
      <c r="C241" s="7">
        <f>+VLOOKUP(B241,J241:$L$257,3,0)</f>
        <v>2</v>
      </c>
      <c r="D241" s="15" t="str">
        <f t="shared" si="6"/>
        <v>CS 2</v>
      </c>
      <c r="E241" s="1" t="s">
        <v>255</v>
      </c>
      <c r="F241" s="17" t="str">
        <f t="shared" si="7"/>
        <v>28/07/2017</v>
      </c>
      <c r="J241" s="5" t="s">
        <v>236</v>
      </c>
      <c r="K241" s="6" t="s">
        <v>405</v>
      </c>
      <c r="L241" s="6">
        <v>2</v>
      </c>
    </row>
    <row r="242" spans="2:12" ht="19.5" thickBot="1" x14ac:dyDescent="0.35">
      <c r="B242" s="14" t="s">
        <v>239</v>
      </c>
      <c r="C242" s="7">
        <f>+VLOOKUP(B242,J242:$L$257,3,0)</f>
        <v>2</v>
      </c>
      <c r="D242" s="15" t="str">
        <f t="shared" si="6"/>
        <v>CS 2</v>
      </c>
      <c r="E242" s="1" t="s">
        <v>265</v>
      </c>
      <c r="F242" s="17" t="str">
        <f t="shared" si="7"/>
        <v>25/02/2013</v>
      </c>
      <c r="J242" s="5" t="s">
        <v>237</v>
      </c>
      <c r="K242" s="6" t="s">
        <v>406</v>
      </c>
      <c r="L242" s="6">
        <v>2</v>
      </c>
    </row>
    <row r="243" spans="2:12" ht="19.5" thickBot="1" x14ac:dyDescent="0.35">
      <c r="B243" s="14" t="s">
        <v>240</v>
      </c>
      <c r="C243" s="7">
        <f>+VLOOKUP(B243,J243:$L$257,3,0)</f>
        <v>2</v>
      </c>
      <c r="D243" s="15" t="str">
        <f t="shared" si="6"/>
        <v>CS 2</v>
      </c>
      <c r="E243" s="1" t="s">
        <v>265</v>
      </c>
      <c r="F243" s="17">
        <f t="shared" si="7"/>
        <v>39243</v>
      </c>
      <c r="J243" s="5" t="s">
        <v>238</v>
      </c>
      <c r="K243" s="6" t="s">
        <v>407</v>
      </c>
      <c r="L243" s="6">
        <v>2</v>
      </c>
    </row>
    <row r="244" spans="2:12" ht="19.5" thickBot="1" x14ac:dyDescent="0.35">
      <c r="B244" s="14" t="s">
        <v>241</v>
      </c>
      <c r="C244" s="7">
        <f>+VLOOKUP(B244,J244:$L$257,3,0)</f>
        <v>1</v>
      </c>
      <c r="D244" s="15" t="str">
        <f t="shared" si="6"/>
        <v>CS 1</v>
      </c>
      <c r="E244" s="1" t="s">
        <v>255</v>
      </c>
      <c r="F244" s="17">
        <f t="shared" si="7"/>
        <v>42898</v>
      </c>
      <c r="J244" s="5" t="s">
        <v>239</v>
      </c>
      <c r="K244" s="6" t="s">
        <v>408</v>
      </c>
      <c r="L244" s="6">
        <v>2</v>
      </c>
    </row>
    <row r="245" spans="2:12" ht="19.5" thickBot="1" x14ac:dyDescent="0.35">
      <c r="B245" s="14" t="s">
        <v>242</v>
      </c>
      <c r="C245" s="7">
        <f>+VLOOKUP(B245,J245:$L$257,3,0)</f>
        <v>5</v>
      </c>
      <c r="D245" s="15" t="str">
        <f t="shared" si="6"/>
        <v>CS 5</v>
      </c>
      <c r="E245" s="1" t="s">
        <v>255</v>
      </c>
      <c r="F245" s="17">
        <f t="shared" si="7"/>
        <v>43191</v>
      </c>
      <c r="J245" s="5" t="s">
        <v>240</v>
      </c>
      <c r="K245" s="16">
        <v>39243</v>
      </c>
      <c r="L245" s="6">
        <v>2</v>
      </c>
    </row>
    <row r="246" spans="2:12" ht="19.5" thickBot="1" x14ac:dyDescent="0.35">
      <c r="B246" s="14" t="s">
        <v>243</v>
      </c>
      <c r="C246" s="7">
        <f>+VLOOKUP(B246,J246:$L$257,3,0)</f>
        <v>2</v>
      </c>
      <c r="D246" s="15" t="str">
        <f t="shared" si="6"/>
        <v>CS 2</v>
      </c>
      <c r="E246" s="1" t="s">
        <v>255</v>
      </c>
      <c r="F246" s="17" t="str">
        <f t="shared" si="7"/>
        <v>24/10/2005</v>
      </c>
      <c r="J246" s="5" t="s">
        <v>241</v>
      </c>
      <c r="K246" s="16">
        <v>42898</v>
      </c>
      <c r="L246" s="6">
        <v>1</v>
      </c>
    </row>
    <row r="247" spans="2:12" ht="19.5" thickBot="1" x14ac:dyDescent="0.35">
      <c r="B247" s="14" t="s">
        <v>244</v>
      </c>
      <c r="C247" s="7">
        <f>+VLOOKUP(B247,J247:$L$257,3,0)</f>
        <v>2</v>
      </c>
      <c r="D247" s="15" t="str">
        <f t="shared" si="6"/>
        <v>CS 2</v>
      </c>
      <c r="E247" s="1" t="s">
        <v>265</v>
      </c>
      <c r="F247" s="17">
        <f t="shared" si="7"/>
        <v>40664</v>
      </c>
      <c r="J247" s="5" t="s">
        <v>242</v>
      </c>
      <c r="K247" s="16">
        <v>43191</v>
      </c>
      <c r="L247" s="6">
        <v>5</v>
      </c>
    </row>
    <row r="248" spans="2:12" ht="27.75" thickBot="1" x14ac:dyDescent="0.35">
      <c r="B248" s="14" t="s">
        <v>245</v>
      </c>
      <c r="C248" s="7">
        <f>+VLOOKUP(B248,J248:$L$257,3,0)</f>
        <v>1</v>
      </c>
      <c r="D248" s="15" t="str">
        <f t="shared" si="6"/>
        <v>CS 1</v>
      </c>
      <c r="E248" s="1" t="s">
        <v>265</v>
      </c>
      <c r="F248" s="17">
        <f t="shared" si="7"/>
        <v>41217</v>
      </c>
      <c r="J248" s="5" t="s">
        <v>243</v>
      </c>
      <c r="K248" s="6" t="s">
        <v>409</v>
      </c>
      <c r="L248" s="6">
        <v>2</v>
      </c>
    </row>
    <row r="249" spans="2:12" ht="19.5" thickBot="1" x14ac:dyDescent="0.35">
      <c r="B249" s="14" t="s">
        <v>246</v>
      </c>
      <c r="C249" s="7">
        <f>+VLOOKUP(B249,J249:$L$257,3,0)</f>
        <v>5</v>
      </c>
      <c r="D249" s="15" t="str">
        <f t="shared" si="6"/>
        <v>CS 5</v>
      </c>
      <c r="E249" s="1" t="s">
        <v>265</v>
      </c>
      <c r="F249" s="17" t="str">
        <f t="shared" si="7"/>
        <v>20/03/2016</v>
      </c>
      <c r="J249" s="5" t="s">
        <v>244</v>
      </c>
      <c r="K249" s="16">
        <v>40664</v>
      </c>
      <c r="L249" s="6">
        <v>2</v>
      </c>
    </row>
    <row r="250" spans="2:12" ht="19.5" thickBot="1" x14ac:dyDescent="0.35">
      <c r="B250" s="14" t="s">
        <v>247</v>
      </c>
      <c r="C250" s="7">
        <f>+VLOOKUP(B250,J250:$L$257,3,0)</f>
        <v>5</v>
      </c>
      <c r="D250" s="15" t="str">
        <f t="shared" si="6"/>
        <v>CS 5</v>
      </c>
      <c r="E250" s="1" t="s">
        <v>255</v>
      </c>
      <c r="F250" s="17" t="str">
        <f t="shared" si="7"/>
        <v>18/07/2017</v>
      </c>
      <c r="J250" s="5" t="s">
        <v>245</v>
      </c>
      <c r="K250" s="16">
        <v>41217</v>
      </c>
      <c r="L250" s="6">
        <v>1</v>
      </c>
    </row>
    <row r="251" spans="2:12" ht="19.5" thickBot="1" x14ac:dyDescent="0.35">
      <c r="B251" s="14" t="s">
        <v>248</v>
      </c>
      <c r="C251" s="7">
        <f>+VLOOKUP(B251,J251:$L$257,3,0)</f>
        <v>4</v>
      </c>
      <c r="D251" s="15" t="str">
        <f t="shared" si="6"/>
        <v>CS 4</v>
      </c>
      <c r="E251" s="1" t="s">
        <v>255</v>
      </c>
      <c r="F251" s="17">
        <f t="shared" si="7"/>
        <v>40246</v>
      </c>
      <c r="J251" s="5" t="s">
        <v>246</v>
      </c>
      <c r="K251" s="6" t="s">
        <v>410</v>
      </c>
      <c r="L251" s="6">
        <v>5</v>
      </c>
    </row>
    <row r="252" spans="2:12" ht="19.5" thickBot="1" x14ac:dyDescent="0.35">
      <c r="B252" s="14" t="s">
        <v>249</v>
      </c>
      <c r="C252" s="7">
        <f>+VLOOKUP(B252,J252:$L$257,3,0)</f>
        <v>2</v>
      </c>
      <c r="D252" s="15" t="str">
        <f t="shared" si="6"/>
        <v>CS 2</v>
      </c>
      <c r="E252" s="1" t="s">
        <v>255</v>
      </c>
      <c r="F252" s="17">
        <f t="shared" si="7"/>
        <v>39150</v>
      </c>
      <c r="J252" s="5" t="s">
        <v>247</v>
      </c>
      <c r="K252" s="6" t="s">
        <v>411</v>
      </c>
      <c r="L252" s="6">
        <v>5</v>
      </c>
    </row>
    <row r="253" spans="2:12" ht="27.75" thickBot="1" x14ac:dyDescent="0.35">
      <c r="B253" s="14" t="s">
        <v>250</v>
      </c>
      <c r="C253" s="7">
        <f>+VLOOKUP(B253,J253:$L$257,3,0)</f>
        <v>1</v>
      </c>
      <c r="D253" s="15" t="str">
        <f t="shared" si="6"/>
        <v>CS 1</v>
      </c>
      <c r="E253" s="1" t="s">
        <v>255</v>
      </c>
      <c r="F253" s="17" t="str">
        <f t="shared" si="7"/>
        <v>27/01/2017</v>
      </c>
      <c r="J253" s="5" t="s">
        <v>248</v>
      </c>
      <c r="K253" s="16">
        <v>40246</v>
      </c>
      <c r="L253" s="6">
        <v>4</v>
      </c>
    </row>
    <row r="254" spans="2:12" ht="19.5" thickBot="1" x14ac:dyDescent="0.35">
      <c r="B254" s="14" t="s">
        <v>251</v>
      </c>
      <c r="C254" s="7">
        <f>+VLOOKUP(B254,J254:$L$257,3,0)</f>
        <v>2</v>
      </c>
      <c r="D254" s="15" t="str">
        <f t="shared" si="6"/>
        <v>CS 2</v>
      </c>
      <c r="E254" s="1" t="s">
        <v>255</v>
      </c>
      <c r="F254" s="17" t="str">
        <f t="shared" si="7"/>
        <v>16/09/2015</v>
      </c>
      <c r="J254" s="5" t="s">
        <v>249</v>
      </c>
      <c r="K254" s="16">
        <v>39150</v>
      </c>
      <c r="L254" s="6">
        <v>2</v>
      </c>
    </row>
    <row r="255" spans="2:12" ht="19.5" thickBot="1" x14ac:dyDescent="0.35">
      <c r="B255" s="14" t="s">
        <v>252</v>
      </c>
      <c r="C255" s="7">
        <f>+VLOOKUP(B255,J255:$L$257,3,0)</f>
        <v>2</v>
      </c>
      <c r="D255" s="15" t="str">
        <f t="shared" si="6"/>
        <v>CS 2</v>
      </c>
      <c r="E255" s="1" t="s">
        <v>255</v>
      </c>
      <c r="F255" s="17" t="str">
        <f t="shared" si="7"/>
        <v>28/09/2012</v>
      </c>
      <c r="J255" s="5" t="s">
        <v>250</v>
      </c>
      <c r="K255" s="6" t="s">
        <v>412</v>
      </c>
      <c r="L255" s="6">
        <v>1</v>
      </c>
    </row>
    <row r="256" spans="2:12" ht="19.5" thickBot="1" x14ac:dyDescent="0.35">
      <c r="B256" s="14" t="s">
        <v>253</v>
      </c>
      <c r="C256" s="7" t="e">
        <f>+VLOOKUP(B256,J256:$L$257,3,0)</f>
        <v>#N/A</v>
      </c>
      <c r="D256" s="15" t="s">
        <v>429</v>
      </c>
      <c r="E256" s="1" t="s">
        <v>255</v>
      </c>
      <c r="F256" s="17">
        <f t="shared" si="7"/>
        <v>42432</v>
      </c>
      <c r="J256" s="5" t="s">
        <v>251</v>
      </c>
      <c r="K256" s="6" t="s">
        <v>413</v>
      </c>
      <c r="L256" s="6">
        <v>2</v>
      </c>
    </row>
    <row r="257" spans="2:12" ht="19.5" thickBot="1" x14ac:dyDescent="0.35">
      <c r="B257" s="14" t="s">
        <v>254</v>
      </c>
      <c r="C257" s="7" t="e">
        <f>+VLOOKUP(B257,J257:$L$257,3,0)</f>
        <v>#N/A</v>
      </c>
      <c r="D257" s="15" t="s">
        <v>429</v>
      </c>
      <c r="E257" s="1" t="s">
        <v>255</v>
      </c>
      <c r="F257" s="17">
        <f t="shared" si="7"/>
        <v>40973</v>
      </c>
      <c r="J257" s="5" t="s">
        <v>252</v>
      </c>
      <c r="K257" s="6" t="s">
        <v>414</v>
      </c>
      <c r="L257" s="6">
        <v>2</v>
      </c>
    </row>
    <row r="258" spans="2:12" ht="27.75" thickBot="1" x14ac:dyDescent="0.35">
      <c r="B258" s="5" t="s">
        <v>417</v>
      </c>
      <c r="C258" s="7" t="e">
        <f>+VLOOKUP(B258,J$257:$L258,3,0)</f>
        <v>#N/A</v>
      </c>
      <c r="D258" s="15" t="s">
        <v>429</v>
      </c>
      <c r="E258" s="1" t="s">
        <v>255</v>
      </c>
      <c r="F258" s="6" t="s">
        <v>288</v>
      </c>
      <c r="J258" s="5" t="s">
        <v>253</v>
      </c>
      <c r="K258" s="16">
        <v>42432</v>
      </c>
      <c r="L258" s="6">
        <v>2</v>
      </c>
    </row>
    <row r="259" spans="2:12" ht="27.75" thickBot="1" x14ac:dyDescent="0.35">
      <c r="B259" s="5" t="s">
        <v>418</v>
      </c>
      <c r="C259" s="7" t="e">
        <f>+VLOOKUP(B259,J$257:$L259,3,0)</f>
        <v>#N/A</v>
      </c>
      <c r="D259" s="15" t="s">
        <v>427</v>
      </c>
      <c r="E259" s="1" t="s">
        <v>265</v>
      </c>
      <c r="F259" s="6" t="s">
        <v>419</v>
      </c>
      <c r="J259" s="5" t="s">
        <v>254</v>
      </c>
      <c r="K259" s="16">
        <v>40973</v>
      </c>
      <c r="L259" s="6">
        <v>2</v>
      </c>
    </row>
    <row r="260" spans="2:12" ht="27.75" thickBot="1" x14ac:dyDescent="0.35">
      <c r="B260" s="1"/>
      <c r="C260" s="7" t="e">
        <f>+VLOOKUP(B260,J$257:$L260,3,0)</f>
        <v>#N/A</v>
      </c>
      <c r="D260" s="15"/>
      <c r="E260" s="1"/>
      <c r="F260" s="1"/>
      <c r="J260" s="5" t="s">
        <v>417</v>
      </c>
      <c r="K260" s="6" t="s">
        <v>288</v>
      </c>
      <c r="L260" s="6">
        <v>2</v>
      </c>
    </row>
    <row r="261" spans="2:12" ht="19.5" thickBot="1" x14ac:dyDescent="0.35">
      <c r="B261" s="1"/>
      <c r="C261" s="7" t="e">
        <f>+VLOOKUP(B261,J$257:$L261,3,0)</f>
        <v>#N/A</v>
      </c>
      <c r="D261" s="15"/>
      <c r="E261" s="1"/>
      <c r="F261" s="1"/>
      <c r="J261" s="5" t="s">
        <v>418</v>
      </c>
      <c r="K261" s="6" t="s">
        <v>419</v>
      </c>
      <c r="L261" s="6">
        <v>4</v>
      </c>
    </row>
    <row r="262" spans="2:12" ht="18.75" x14ac:dyDescent="0.3">
      <c r="B262" s="1"/>
      <c r="C262" s="7" t="e">
        <f>+VLOOKUP(B262,J$257:$L262,3,0)</f>
        <v>#N/A</v>
      </c>
      <c r="D262" s="15"/>
      <c r="E262" s="1"/>
      <c r="F2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 dang</dc:creator>
  <cp:lastModifiedBy>Toan dang</cp:lastModifiedBy>
  <dcterms:created xsi:type="dcterms:W3CDTF">2026-02-15T13:06:55Z</dcterms:created>
  <dcterms:modified xsi:type="dcterms:W3CDTF">2026-03-01T04:33:14Z</dcterms:modified>
</cp:coreProperties>
</file>